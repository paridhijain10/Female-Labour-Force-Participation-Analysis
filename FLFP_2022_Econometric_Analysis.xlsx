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Descriptive Statistics" sheetId="2" r:id="rId6"/>
    <sheet state="visible" name="Regression Results" sheetId="3" r:id="rId7"/>
    <sheet state="visible" name="Variable VIF Summary" sheetId="4" r:id="rId8"/>
    <sheet state="visible" name="Urban Population VIF" sheetId="5" r:id="rId9"/>
    <sheet state="visible" name="log(Fertility rate) VIF" sheetId="6" r:id="rId10"/>
    <sheet state="visible" name="log(Female life expectancy) VIF" sheetId="7" r:id="rId11"/>
    <sheet state="visible" name="South Asia VIF Test" sheetId="8" r:id="rId12"/>
    <sheet state="visible" name="Whites Test - checking for hete" sheetId="9" r:id="rId13"/>
    <sheet state="visible" name="Trials" sheetId="10" r:id="rId14"/>
    <sheet state="visible" name="Variable Summary" sheetId="11" r:id="rId15"/>
    <sheet state="visible" name="Summary Table" sheetId="12" r:id="rId16"/>
  </sheets>
  <definedNames/>
  <calcPr/>
</workbook>
</file>

<file path=xl/sharedStrings.xml><?xml version="1.0" encoding="utf-8"?>
<sst xmlns="http://schemas.openxmlformats.org/spreadsheetml/2006/main" count="392" uniqueCount="210">
  <si>
    <t>Variable  VIF Summary</t>
  </si>
  <si>
    <t xml:space="preserve"> Non-High-Income Countries (N=80, 2022)</t>
  </si>
  <si>
    <t xml:space="preserve"> Descriptive Statistics </t>
  </si>
  <si>
    <t xml:space="preserve"> OLS Regression Results </t>
  </si>
  <si>
    <t>Variable</t>
  </si>
  <si>
    <t>Country Name</t>
  </si>
  <si>
    <t>Coefficient (β)</t>
  </si>
  <si>
    <t>VIF</t>
  </si>
  <si>
    <t>FLFP (%)</t>
  </si>
  <si>
    <t>N</t>
  </si>
  <si>
    <t>Std Error</t>
  </si>
  <si>
    <t>Mean</t>
  </si>
  <si>
    <t>Urban Pop (%)</t>
  </si>
  <si>
    <t>Interpretation</t>
  </si>
  <si>
    <t>t-statistic</t>
  </si>
  <si>
    <t>Std Dev</t>
  </si>
  <si>
    <t>p-value</t>
  </si>
  <si>
    <t>log(Fertility)</t>
  </si>
  <si>
    <t>Min</t>
  </si>
  <si>
    <t>95% CI Lower</t>
  </si>
  <si>
    <t>log(FemLifeExp)</t>
  </si>
  <si>
    <t>Urban Population (%)</t>
  </si>
  <si>
    <t>Max</t>
  </si>
  <si>
    <t>95% CI Upper</t>
  </si>
  <si>
    <t>South Asia Dummy</t>
  </si>
  <si>
    <t>Median</t>
  </si>
  <si>
    <t>Role</t>
  </si>
  <si>
    <t>Fertility Rate</t>
  </si>
  <si>
    <t>Intercept</t>
  </si>
  <si>
    <t>Female Life Exp</t>
  </si>
  <si>
    <t>Albania</t>
  </si>
  <si>
    <t>VIF=1.47 — minimal multicollinearity</t>
  </si>
  <si>
    <t>log(Fertility Rate)</t>
  </si>
  <si>
    <t>VIF=2.46 — mild, well within acceptable range</t>
  </si>
  <si>
    <t>log(Female Life Exp)</t>
  </si>
  <si>
    <t>VIF=2.66 — mild, well within acceptable range</t>
  </si>
  <si>
    <t>VIF=1.16 — minimal, dummy virtually uncorrelated</t>
  </si>
  <si>
    <t>Algeria</t>
  </si>
  <si>
    <t>Dependent</t>
  </si>
  <si>
    <t>Argentina</t>
  </si>
  <si>
    <t>Independent</t>
  </si>
  <si>
    <t>Fertility Rate (raw)</t>
  </si>
  <si>
    <t>Armenia</t>
  </si>
  <si>
    <t>Azerbaijan</t>
  </si>
  <si>
    <t>Reference only</t>
  </si>
  <si>
    <t>Model Fit Statistics</t>
  </si>
  <si>
    <t>R²</t>
  </si>
  <si>
    <t>Bangladesh</t>
  </si>
  <si>
    <t>Adjusted R²</t>
  </si>
  <si>
    <t>F-statistic</t>
  </si>
  <si>
    <t>F p-value</t>
  </si>
  <si>
    <t>Observations (N)</t>
  </si>
  <si>
    <t>SUMMARY OUTPUT</t>
  </si>
  <si>
    <t>Regression Statistics</t>
  </si>
  <si>
    <t>Multiple R</t>
  </si>
  <si>
    <t>R Square</t>
  </si>
  <si>
    <t>Belarus</t>
  </si>
  <si>
    <t>Adjusted R Square</t>
  </si>
  <si>
    <t>Standard Error</t>
  </si>
  <si>
    <t>Observations</t>
  </si>
  <si>
    <t>ANOVA</t>
  </si>
  <si>
    <t>Female Life Exp (raw)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</si>
  <si>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</si>
  <si>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</si>
  <si>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</si>
  <si>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</si>
  <si>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</si>
  <si>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</si>
  <si>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</si>
  <si>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</si>
  <si>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</si>
  <si>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</si>
  <si>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</si>
  <si>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</si>
  <si>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</si>
  <si>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Belize</t>
  </si>
  <si>
    <t>Benin</t>
  </si>
  <si>
    <t>Bhutan</t>
  </si>
  <si>
    <t xml:space="preserve">VIF </t>
  </si>
  <si>
    <t>Bolivia</t>
  </si>
  <si>
    <t>Bosnia and Herzegovina</t>
  </si>
  <si>
    <t>Independent / Dummy</t>
  </si>
  <si>
    <t>Brazil</t>
  </si>
  <si>
    <t>Burkina Faso</t>
  </si>
  <si>
    <t>Cabo Verde</t>
  </si>
  <si>
    <t>Cambodia</t>
  </si>
  <si>
    <t>Cameroon</t>
  </si>
  <si>
    <t>Colombia</t>
  </si>
  <si>
    <t>Cote d'Ivoire</t>
  </si>
  <si>
    <t>Dominican Republic</t>
  </si>
  <si>
    <t>log(Female life Exp)</t>
  </si>
  <si>
    <t>East Asia &amp; Pacific (IDA &amp; IBRD countries)</t>
  </si>
  <si>
    <t>South Asia</t>
  </si>
  <si>
    <t>East Asia &amp; Pacific (excluding high income)</t>
  </si>
  <si>
    <t>Ecuador</t>
  </si>
  <si>
    <t>El Salvador</t>
  </si>
  <si>
    <t>Eswatini</t>
  </si>
  <si>
    <t>Europe &amp; Central Asia (IDA &amp; IBRD countries)</t>
  </si>
  <si>
    <t>White's Test - Checking for Heteroskedasticity</t>
  </si>
  <si>
    <t>Europe &amp; Central Asia (excluding high income)</t>
  </si>
  <si>
    <t xml:space="preserve">Auxiliary R² </t>
  </si>
  <si>
    <t>N (observations</t>
  </si>
  <si>
    <t>k (auxiliary regressors)</t>
  </si>
  <si>
    <t xml:space="preserve">LM statistic (N × R²) </t>
  </si>
  <si>
    <t xml:space="preserve">Chi-square p-value </t>
  </si>
  <si>
    <t xml:space="preserve">F p-value </t>
  </si>
  <si>
    <t>0.1208 &gt; 0.05</t>
  </si>
  <si>
    <t>FAIL TO REJECT H₀ — NO HETEROSKEDASTICITY</t>
  </si>
  <si>
    <t>Fiji</t>
  </si>
  <si>
    <t>Georgia</t>
  </si>
  <si>
    <t>Stage</t>
  </si>
  <si>
    <t>Variables</t>
  </si>
  <si>
    <t>Sample</t>
  </si>
  <si>
    <t>R^2</t>
  </si>
  <si>
    <t>Heteroskedasticity</t>
  </si>
  <si>
    <t>Significance of Variables</t>
  </si>
  <si>
    <t>Status</t>
  </si>
  <si>
    <t>Ghana</t>
  </si>
  <si>
    <t>Fertility, GDP Growth, Education, Urban, Unemployment</t>
  </si>
  <si>
    <t>N=132</t>
  </si>
  <si>
    <t>Yes</t>
  </si>
  <si>
    <t>No</t>
  </si>
  <si>
    <t>Rejected</t>
  </si>
  <si>
    <t>Description</t>
  </si>
  <si>
    <t>WDI Code</t>
  </si>
  <si>
    <t>log(GDPpc), FemLifeExp, MENA, WomenParl, Urban</t>
  </si>
  <si>
    <t>Female LFP rate, ages 15+</t>
  </si>
  <si>
    <t>SL.TLF.CACT.FE.ZS</t>
  </si>
  <si>
    <t>Guatemala</t>
  </si>
  <si>
    <t>All combinations tested (21+ models)</t>
  </si>
  <si>
    <t>Urban population share</t>
  </si>
  <si>
    <t>Various</t>
  </si>
  <si>
    <t>SP.URB.TOTL.IN.ZS</t>
  </si>
  <si>
    <t>log of total fertility rate</t>
  </si>
  <si>
    <t>FemLifeExp + log(GDPpc) + WomenParl (no dummy)</t>
  </si>
  <si>
    <t>SP.DYN.TFRT.IN → log</t>
  </si>
  <si>
    <t>N=80</t>
  </si>
  <si>
    <t>Rejected (no dummy)</t>
  </si>
  <si>
    <t>log of female life expectancy</t>
  </si>
  <si>
    <t>Heavily indebted poor countries (HIPC)</t>
  </si>
  <si>
    <t>SP.DYN.LE00.FE.IN → log</t>
  </si>
  <si>
    <t>Urban + log(Fert) + log(FLE) + SouthAsia</t>
  </si>
  <si>
    <t>South Asia regional dummy (0/1)</t>
  </si>
  <si>
    <t>Final Model</t>
  </si>
  <si>
    <t>World Bank classification</t>
  </si>
  <si>
    <t>Dummy</t>
  </si>
  <si>
    <t>Honduras</t>
  </si>
  <si>
    <t>Theory</t>
  </si>
  <si>
    <t>Expected Sign</t>
  </si>
  <si>
    <t>Actual Sign</t>
  </si>
  <si>
    <t>β Value</t>
  </si>
  <si>
    <t>Theory Confirmation</t>
  </si>
  <si>
    <t>Urban Population</t>
  </si>
  <si>
    <t>Goldin (1995) — U-curve</t>
  </si>
  <si>
    <t>−</t>
  </si>
  <si>
    <t>−0.178</t>
  </si>
  <si>
    <t>India</t>
  </si>
  <si>
    <t>Becker (1965) — Time allocation</t>
  </si>
  <si>
    <t>−25.721</t>
  </si>
  <si>
    <t>&lt;0.001</t>
  </si>
  <si>
    <t>Grossman (1972) — conditional</t>
  </si>
  <si>
    <t>Indonesia</t>
  </si>
  <si>
    <t>−130.26</t>
  </si>
  <si>
    <t>Klasen &amp; Pieters (2015) — institutional</t>
  </si>
  <si>
    <t>−18.675</t>
  </si>
  <si>
    <t>Jamaica</t>
  </si>
  <si>
    <t>Jordan</t>
  </si>
  <si>
    <t>Kazakhstan</t>
  </si>
  <si>
    <t>Kenya</t>
  </si>
  <si>
    <t>Lao PDR</t>
  </si>
  <si>
    <t>Latin America &amp; Caribbean (excluding high income)</t>
  </si>
  <si>
    <t>Latin America &amp; the Caribbean (IDA &amp; IBRD countries)</t>
  </si>
  <si>
    <t>Least developed countries: UN classification</t>
  </si>
  <si>
    <t>Lebanon</t>
  </si>
  <si>
    <t>Malawi</t>
  </si>
  <si>
    <t>Malaysia</t>
  </si>
  <si>
    <t>Maldives</t>
  </si>
  <si>
    <t>Mexico</t>
  </si>
  <si>
    <t>Middle East, North Africa, Afghanistan &amp; Pakistan</t>
  </si>
  <si>
    <t>Moldova</t>
  </si>
  <si>
    <t>Mongolia</t>
  </si>
  <si>
    <t>Montenegro</t>
  </si>
  <si>
    <t>Morocco</t>
  </si>
  <si>
    <t>Namibia</t>
  </si>
  <si>
    <t>Nepal</t>
  </si>
  <si>
    <t>North Macedonia</t>
  </si>
  <si>
    <t>Pakistan</t>
  </si>
  <si>
    <t>Paraguay</t>
  </si>
  <si>
    <t>Peru</t>
  </si>
  <si>
    <t>Philippines</t>
  </si>
  <si>
    <t>Rwanda</t>
  </si>
  <si>
    <t>Senegal</t>
  </si>
  <si>
    <t>Serbia</t>
  </si>
  <si>
    <t>South Africa</t>
  </si>
  <si>
    <t>South Asia (IDA &amp; IBRD)</t>
  </si>
  <si>
    <t>Sri Lanka</t>
  </si>
  <si>
    <t>St. Lucia</t>
  </si>
  <si>
    <t>Sub-Saharan Africa (IDA &amp; IBRD countries)</t>
  </si>
  <si>
    <t>Sub-Saharan Africa (excluding high income)</t>
  </si>
  <si>
    <t>Suriname</t>
  </si>
  <si>
    <t>Syrian Arab Republic</t>
  </si>
  <si>
    <t>Tajikistan</t>
  </si>
  <si>
    <t>Thailand</t>
  </si>
  <si>
    <t>Tonga</t>
  </si>
  <si>
    <t>Turkiye</t>
  </si>
  <si>
    <t>Turkmenistan</t>
  </si>
  <si>
    <t>Uzbekistan</t>
  </si>
  <si>
    <t>Vanuatu</t>
  </si>
  <si>
    <t>Viet Nam</t>
  </si>
  <si>
    <t>West Bank and Gaza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</si>
</sst>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37">
    <font>
      <sz val="11.0"/>
      <color theme="1"/>
      <name val="Calibri"/>
      <scheme val="minor"/>
    </font>
    <font>
      <b/>
      <sz val="15.0"/>
      <color rgb="FF274E13"/>
      <name val="Arial"/>
    </font>
    <font>
      <b/>
      <sz val="12.0"/>
      <color rgb="FF274E13"/>
      <name val="Arial"/>
    </font>
    <font>
      <b/>
      <sz val="12.0"/>
      <color rgb="FF1F4E79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b/>
      <color theme="1"/>
      <name val="Arial"/>
    </font>
    <font>
      <sz val="10.0"/>
      <color theme="1"/>
      <name val="Arial"/>
    </font>
    <font>
      <color rgb="FF000000"/>
      <name val="Arial"/>
    </font>
    <font>
      <color theme="1"/>
      <name val="Calibri"/>
      <scheme val="minor"/>
    </font>
    <font>
      <i/>
      <color theme="1"/>
      <name val="Calibri"/>
      <scheme val="minor"/>
    </font>
    <font>
      <b/>
      <sz val="11.0"/>
      <color rgb="FFFFFFFF"/>
      <name val="Arial"/>
    </font>
    <font/>
    <font>
      <i/>
      <sz val="9.0"/>
      <color rgb="FF595959"/>
      <name val="Arial"/>
    </font>
    <font>
      <b/>
      <color rgb="FFFFFFFF"/>
      <name val="Calibri"/>
      <scheme val="minor"/>
    </font>
    <font>
      <b/>
      <i/>
      <color rgb="FFFFFFFF"/>
      <name val="Calibri"/>
      <scheme val="minor"/>
    </font>
    <font>
      <b/>
      <sz val="15.0"/>
      <color theme="0"/>
      <name val="Calibri"/>
      <scheme val="minor"/>
    </font>
    <font>
      <b/>
      <sz val="14.0"/>
      <color rgb="FF356854"/>
      <name val="Calibri"/>
      <scheme val="minor"/>
    </font>
    <font>
      <b/>
      <sz val="15.0"/>
      <color rgb="FFFFFFFF"/>
      <name val="Calibri"/>
      <scheme val="minor"/>
    </font>
    <font>
      <sz val="12.0"/>
      <color theme="1"/>
      <name val="Calibri"/>
      <scheme val="minor"/>
    </font>
    <font>
      <b/>
      <sz val="13.0"/>
      <color rgb="FF274E13"/>
      <name val="Calibri"/>
      <scheme val="minor"/>
    </font>
    <font>
      <sz val="11.0"/>
      <color theme="1"/>
      <name val="Calibri"/>
    </font>
    <font>
      <sz val="15.0"/>
      <color rgb="FFFFFFFF"/>
      <name val="Calibri"/>
      <scheme val="minor"/>
    </font>
    <font>
      <color rgb="FF000000"/>
      <name val="Calibri"/>
      <scheme val="minor"/>
    </font>
    <font>
      <b/>
      <color rgb="FF000000"/>
      <name val="Calibri"/>
      <scheme val="minor"/>
    </font>
    <font>
      <b/>
      <color theme="1"/>
      <name val="Calibri"/>
      <scheme val="minor"/>
    </font>
    <font>
      <sz val="12.0"/>
      <color theme="1"/>
      <name val="Times New Roman"/>
    </font>
    <font>
      <color theme="1"/>
      <name val="Times New Roman"/>
    </font>
    <font>
      <sz val="12.0"/>
      <color rgb="FF000000"/>
      <name val="Times New Roman"/>
    </font>
    <font>
      <sz val="11.0"/>
      <color rgb="FF000000"/>
      <name val="Times New Roman"/>
    </font>
    <font>
      <b/>
      <sz val="10.0"/>
      <color theme="1"/>
      <name val="'Times New Roman'"/>
    </font>
    <font>
      <b/>
      <sz val="10.0"/>
      <color rgb="FFFFFFFF"/>
      <name val="'Times New Roman'"/>
    </font>
    <font>
      <sz val="10.0"/>
      <color rgb="FF000000"/>
      <name val="'Times New Roman'"/>
    </font>
    <font>
      <b/>
      <sz val="12.0"/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Calibri"/>
      <scheme val="minor"/>
    </font>
    <font>
      <sz val="11.0"/>
      <color rgb="FF000000"/>
      <name val="-webkit-standard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356854"/>
        <bgColor rgb="FF35685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" fillId="0" fontId="7" numFmtId="0" xfId="0" applyAlignment="1" applyBorder="1" applyFont="1">
      <alignment horizontal="left" shrinkToFit="0" vertical="center" wrapText="0"/>
    </xf>
    <xf borderId="1" fillId="0" fontId="8" numFmtId="0" xfId="0" applyAlignment="1" applyBorder="1" applyFont="1">
      <alignment horizontal="left" readingOrder="0" shrinkToFit="0" vertical="center" wrapText="0"/>
    </xf>
    <xf borderId="1" fillId="0" fontId="7" numFmtId="164" xfId="0" applyAlignment="1" applyBorder="1" applyFont="1" applyNumberFormat="1">
      <alignment shrinkToFit="0" vertical="center" wrapText="0"/>
    </xf>
    <xf borderId="1" fillId="0" fontId="7" numFmtId="165" xfId="0" applyAlignment="1" applyBorder="1" applyFont="1" applyNumberFormat="1">
      <alignment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ill="1" applyFont="1">
      <alignment horizontal="left" shrinkToFit="0" vertical="center" wrapText="0"/>
    </xf>
    <xf borderId="1" fillId="2" fontId="7" numFmtId="2" xfId="0" applyAlignment="1" applyBorder="1" applyFill="1" applyFont="1" applyNumberFormat="1">
      <alignment shrinkToFit="0" vertical="center" wrapText="0"/>
    </xf>
    <xf borderId="1" fillId="3" fontId="7" numFmtId="0" xfId="0" applyAlignment="1" applyBorder="1" applyFill="1" applyFont="1">
      <alignment horizontal="left" shrinkToFit="0" vertical="center" wrapText="0"/>
    </xf>
    <xf borderId="1" fillId="3" fontId="7" numFmtId="164" xfId="0" applyAlignment="1" applyBorder="1" applyFill="1" applyFont="1" applyNumberFormat="1">
      <alignment shrinkToFit="0" vertical="center" wrapText="0"/>
    </xf>
    <xf borderId="1" fillId="2" fontId="7" numFmtId="165" xfId="0" applyAlignment="1" applyBorder="1" applyFill="1" applyFont="1" applyNumberFormat="1">
      <alignment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1" fillId="2" fontId="7" numFmtId="1" xfId="0" applyAlignment="1" applyBorder="1" applyFill="1" applyFont="1" applyNumberFormat="1">
      <alignment shrinkToFit="0" vertical="center" wrapText="0"/>
    </xf>
    <xf borderId="1" fillId="0" fontId="8" numFmtId="164" xfId="0" applyAlignment="1" applyBorder="1" applyFont="1" applyNumberFormat="1">
      <alignment readingOrder="0" shrinkToFit="0" vertical="center" wrapText="0"/>
    </xf>
    <xf borderId="1" fillId="4" fontId="7" numFmtId="165" xfId="0" applyAlignment="1" applyBorder="1" applyFill="1" applyFont="1" applyNumberFormat="1">
      <alignment shrinkToFit="0" vertical="center" wrapText="0"/>
    </xf>
    <xf borderId="1" fillId="2" fontId="7" numFmtId="164" xfId="0" applyAlignment="1" applyBorder="1" applyFill="1" applyFont="1" applyNumberFormat="1">
      <alignment shrinkToFit="0" vertical="center" wrapText="0"/>
    </xf>
    <xf borderId="0" fillId="2" fontId="9" numFmtId="0" xfId="0" applyFill="1" applyFont="1"/>
    <xf borderId="0" fillId="2" fontId="7" numFmtId="2" xfId="0" applyAlignment="1" applyFill="1" applyFont="1" applyNumberFormat="1">
      <alignment horizontal="center" vertical="center"/>
    </xf>
    <xf borderId="0" fillId="2" fontId="7" numFmtId="165" xfId="0" applyAlignment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left" shrinkToFit="0" vertical="center" wrapText="0"/>
    </xf>
    <xf borderId="1" fillId="0" fontId="7" numFmtId="2" xfId="0" applyAlignment="1" applyBorder="1" applyFont="1" applyNumberFormat="1">
      <alignment shrinkToFit="0" vertical="center" wrapText="0"/>
    </xf>
    <xf borderId="1" fillId="3" fontId="8" numFmtId="0" xfId="0" applyAlignment="1" applyBorder="1" applyFill="1" applyFont="1">
      <alignment horizontal="left" readingOrder="0" shrinkToFit="0" vertical="center" wrapText="0"/>
    </xf>
    <xf borderId="1" fillId="0" fontId="7" numFmtId="1" xfId="0" applyAlignment="1" applyBorder="1" applyFont="1" applyNumberFormat="1">
      <alignment shrinkToFit="0" vertical="center" wrapText="0"/>
    </xf>
    <xf borderId="1" fillId="3" fontId="8" numFmtId="0" xfId="0" applyAlignment="1" applyBorder="1" applyFill="1" applyFont="1">
      <alignment horizontal="center" readingOrder="0" shrinkToFit="0" vertical="center" wrapText="0"/>
    </xf>
    <xf borderId="0" fillId="0" fontId="7" numFmtId="2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1" fillId="3" fontId="8" numFmtId="164" xfId="0" applyAlignment="1" applyBorder="1" applyFill="1" applyFont="1" applyNumberFormat="1">
      <alignment readingOrder="0" shrinkToFit="0" vertical="center" wrapText="0"/>
    </xf>
    <xf borderId="0" fillId="2" fontId="10" numFmtId="0" xfId="0" applyAlignment="1" applyFill="1" applyFont="1">
      <alignment horizontal="center" readingOrder="0"/>
    </xf>
    <xf borderId="0" fillId="2" fontId="10" numFmtId="0" xfId="0" applyAlignment="1" applyFill="1" applyFont="1">
      <alignment horizontal="center"/>
    </xf>
    <xf borderId="2" fillId="5" fontId="11" numFmtId="0" xfId="0" applyAlignment="1" applyBorder="1" applyFill="1" applyFont="1">
      <alignment horizontal="center"/>
    </xf>
    <xf borderId="3" fillId="0" fontId="12" numFmtId="0" xfId="0" applyBorder="1" applyFont="1"/>
    <xf borderId="4" fillId="0" fontId="4" numFmtId="0" xfId="0" applyBorder="1" applyFont="1"/>
    <xf borderId="4" fillId="0" fontId="7" numFmtId="0" xfId="0" applyBorder="1" applyFont="1"/>
    <xf borderId="0" fillId="0" fontId="4" numFmtId="0" xfId="0" applyFont="1"/>
    <xf borderId="0" fillId="0" fontId="7" numFmtId="0" xfId="0" applyFont="1"/>
    <xf borderId="0" fillId="0" fontId="13" numFmtId="0" xfId="0" applyFont="1"/>
    <xf borderId="0" fillId="5" fontId="14" numFmtId="0" xfId="0" applyAlignment="1" applyFill="1" applyFont="1">
      <alignment horizontal="center" readingOrder="0"/>
    </xf>
    <xf borderId="2" fillId="5" fontId="15" numFmtId="0" xfId="0" applyAlignment="1" applyBorder="1" applyFill="1" applyFont="1">
      <alignment horizontal="center" readingOrder="0"/>
    </xf>
    <xf borderId="4" fillId="0" fontId="9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4" fillId="3" fontId="9" numFmtId="0" xfId="0" applyAlignment="1" applyBorder="1" applyFill="1" applyFont="1">
      <alignment readingOrder="0"/>
    </xf>
    <xf borderId="2" fillId="5" fontId="14" numFmtId="0" xfId="0" applyAlignment="1" applyBorder="1" applyFill="1" applyFont="1">
      <alignment horizontal="center" readingOrder="0"/>
    </xf>
    <xf borderId="5" fillId="0" fontId="12" numFmtId="0" xfId="0" applyBorder="1" applyFont="1"/>
    <xf borderId="4" fillId="0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 readingOrder="0"/>
    </xf>
    <xf borderId="0" fillId="2" fontId="9" numFmtId="0" xfId="0" applyAlignment="1" applyFill="1" applyFont="1">
      <alignment readingOrder="0"/>
    </xf>
    <xf borderId="4" fillId="0" fontId="9" numFmtId="0" xfId="0" applyBorder="1" applyFont="1"/>
    <xf borderId="0" fillId="5" fontId="16" numFmtId="0" xfId="0" applyAlignment="1" applyFill="1" applyFont="1">
      <alignment horizontal="center" readingOrder="0" vertical="center"/>
    </xf>
    <xf borderId="0" fillId="3" fontId="9" numFmtId="0" xfId="0" applyAlignment="1" applyFill="1" applyFont="1">
      <alignment horizontal="center" readingOrder="0" shrinkToFit="0" wrapText="1"/>
    </xf>
    <xf borderId="0" fillId="0" fontId="9" numFmtId="0" xfId="0" applyAlignment="1" applyFont="1">
      <alignment shrinkToFit="0" wrapText="1"/>
    </xf>
    <xf borderId="2" fillId="6" fontId="10" numFmtId="0" xfId="0" applyAlignment="1" applyBorder="1" applyFill="1" applyFont="1">
      <alignment horizontal="center" readingOrder="0" shrinkToFit="0" wrapText="1"/>
    </xf>
    <xf borderId="4" fillId="0" fontId="9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readingOrder="0" shrinkToFit="0" wrapText="1"/>
    </xf>
    <xf borderId="4" fillId="7" fontId="9" numFmtId="0" xfId="0" applyAlignment="1" applyBorder="1" applyFill="1" applyFont="1">
      <alignment readingOrder="0" shrinkToFit="0" wrapText="1"/>
    </xf>
    <xf borderId="2" fillId="6" fontId="9" numFmtId="0" xfId="0" applyAlignment="1" applyBorder="1" applyFill="1" applyFont="1">
      <alignment horizontal="center" readingOrder="0" shrinkToFit="0" wrapText="1"/>
    </xf>
    <xf borderId="4" fillId="0" fontId="10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shrinkToFit="0" wrapText="1"/>
    </xf>
    <xf borderId="5" fillId="0" fontId="10" numFmtId="0" xfId="0" applyAlignment="1" applyBorder="1" applyFont="1">
      <alignment horizontal="center" shrinkToFit="0" wrapText="1"/>
    </xf>
    <xf borderId="5" fillId="0" fontId="10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6" fillId="0" fontId="9" numFmtId="0" xfId="0" applyAlignment="1" applyBorder="1" applyFont="1">
      <alignment readingOrder="0" shrinkToFit="0" wrapText="1"/>
    </xf>
    <xf borderId="6" fillId="0" fontId="9" numFmtId="0" xfId="0" applyAlignment="1" applyBorder="1" applyFont="1">
      <alignment readingOrder="0" shrinkToFit="0" wrapText="1"/>
    </xf>
    <xf borderId="4" fillId="3" fontId="17" numFmtId="0" xfId="0" applyAlignment="1" applyBorder="1" applyFill="1" applyFont="1">
      <alignment horizontal="center" readingOrder="0"/>
    </xf>
    <xf borderId="4" fillId="3" fontId="17" numFmtId="0" xfId="0" applyAlignment="1" applyBorder="1" applyFill="1" applyFont="1">
      <alignment horizontal="center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5" fontId="18" numFmtId="0" xfId="0" applyAlignment="1" applyFill="1" applyFont="1">
      <alignment horizontal="center" readingOrder="0" vertical="center"/>
    </xf>
    <xf borderId="0" fillId="3" fontId="19" numFmtId="0" xfId="0" applyAlignment="1" applyFill="1" applyFont="1">
      <alignment horizontal="center" readingOrder="0"/>
    </xf>
    <xf borderId="2" fillId="6" fontId="10" numFmtId="0" xfId="0" applyAlignment="1" applyBorder="1" applyFill="1" applyFont="1">
      <alignment horizontal="center" readingOrder="0"/>
    </xf>
    <xf borderId="4" fillId="7" fontId="9" numFmtId="0" xfId="0" applyAlignment="1" applyBorder="1" applyFill="1" applyFont="1">
      <alignment readingOrder="0"/>
    </xf>
    <xf borderId="2" fillId="6" fontId="9" numFmtId="0" xfId="0" applyAlignment="1" applyBorder="1" applyFill="1" applyFont="1">
      <alignment horizontal="center" readingOrder="0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4" fillId="3" fontId="20" numFmtId="0" xfId="0" applyAlignment="1" applyBorder="1" applyFill="1" applyFont="1">
      <alignment horizontal="center" readingOrder="0"/>
    </xf>
    <xf borderId="4" fillId="3" fontId="20" numFmtId="0" xfId="0" applyAlignment="1" applyBorder="1" applyFill="1" applyFont="1">
      <alignment horizontal="center"/>
    </xf>
    <xf borderId="0" fillId="3" fontId="9" numFmtId="0" xfId="0" applyAlignment="1" applyFill="1" applyFont="1">
      <alignment horizontal="center" readingOrder="0"/>
    </xf>
    <xf borderId="5" fillId="6" fontId="10" numFmtId="0" xfId="0" applyAlignment="1" applyBorder="1" applyFill="1" applyFont="1">
      <alignment horizontal="center" readingOrder="0"/>
    </xf>
    <xf borderId="0" fillId="7" fontId="9" numFmtId="0" xfId="0" applyAlignment="1" applyFill="1" applyFont="1">
      <alignment readingOrder="0"/>
    </xf>
    <xf borderId="6" fillId="0" fontId="9" numFmtId="0" xfId="0" applyAlignment="1" applyBorder="1" applyFont="1">
      <alignment readingOrder="0"/>
    </xf>
    <xf borderId="6" fillId="0" fontId="9" numFmtId="0" xfId="0" applyAlignment="1" applyBorder="1" applyFont="1">
      <alignment readingOrder="0"/>
    </xf>
    <xf borderId="0" fillId="2" fontId="9" numFmtId="0" xfId="0" applyAlignment="1" applyFill="1" applyFont="1">
      <alignment readingOrder="0"/>
    </xf>
    <xf borderId="0" fillId="0" fontId="21" numFmtId="0" xfId="0" applyAlignment="1" applyFont="1">
      <alignment vertical="bottom"/>
    </xf>
    <xf borderId="0" fillId="5" fontId="22" numFmtId="0" xfId="0" applyAlignment="1" applyFill="1" applyFont="1">
      <alignment horizontal="center" readingOrder="0"/>
    </xf>
    <xf borderId="0" fillId="0" fontId="23" numFmtId="0" xfId="0" applyAlignment="1" applyFont="1">
      <alignment readingOrder="0"/>
    </xf>
    <xf borderId="4" fillId="3" fontId="24" numFmtId="0" xfId="0" applyAlignment="1" applyBorder="1" applyFill="1" applyFont="1">
      <alignment readingOrder="0"/>
    </xf>
    <xf borderId="4" fillId="3" fontId="23" numFmtId="0" xfId="0" applyAlignment="1" applyBorder="1" applyFill="1" applyFont="1">
      <alignment readingOrder="0"/>
    </xf>
    <xf borderId="4" fillId="0" fontId="24" numFmtId="0" xfId="0" applyAlignment="1" applyBorder="1" applyFont="1">
      <alignment readingOrder="0"/>
    </xf>
    <xf borderId="4" fillId="3" fontId="9" numFmtId="0" xfId="0" applyAlignment="1" applyBorder="1" applyFill="1" applyFont="1">
      <alignment readingOrder="0"/>
    </xf>
    <xf borderId="0" fillId="2" fontId="21" numFmtId="0" xfId="0" applyAlignment="1" applyFill="1" applyFont="1">
      <alignment readingOrder="0" vertical="bottom"/>
    </xf>
    <xf borderId="0" fillId="3" fontId="25" numFmtId="0" xfId="0" applyAlignment="1" applyFill="1" applyFont="1">
      <alignment readingOrder="0"/>
    </xf>
    <xf borderId="0" fillId="0" fontId="24" numFmtId="0" xfId="0" applyAlignment="1" applyFont="1">
      <alignment readingOrder="0"/>
    </xf>
    <xf borderId="4" fillId="0" fontId="26" numFmtId="0" xfId="0" applyAlignment="1" applyBorder="1" applyFont="1">
      <alignment horizontal="left" readingOrder="0" shrinkToFit="0" vertical="center" wrapText="1"/>
    </xf>
    <xf borderId="4" fillId="0" fontId="27" numFmtId="0" xfId="0" applyAlignment="1" applyBorder="1" applyFont="1">
      <alignment horizontal="left" readingOrder="0" shrinkToFit="0" vertical="center" wrapText="1"/>
    </xf>
    <xf borderId="4" fillId="0" fontId="26" numFmtId="0" xfId="0" applyAlignment="1" applyBorder="1" applyFont="1">
      <alignment horizontal="left" readingOrder="0" shrinkToFit="0" vertical="center" wrapText="0"/>
    </xf>
    <xf borderId="4" fillId="0" fontId="28" numFmtId="0" xfId="0" applyAlignment="1" applyBorder="1" applyFont="1">
      <alignment horizontal="left" readingOrder="0" shrinkToFit="0" vertical="center" wrapText="1"/>
    </xf>
    <xf borderId="4" fillId="0" fontId="29" numFmtId="0" xfId="0" applyAlignment="1" applyBorder="1" applyFont="1">
      <alignment horizontal="left" readingOrder="0" shrinkToFit="0" vertical="center" wrapText="1"/>
    </xf>
    <xf borderId="4" fillId="0" fontId="30" numFmtId="0" xfId="0" applyAlignment="1" applyBorder="1" applyFont="1">
      <alignment horizontal="center" readingOrder="0" shrinkToFit="0" vertical="center" wrapText="1"/>
    </xf>
    <xf borderId="4" fillId="3" fontId="28" numFmtId="0" xfId="0" applyAlignment="1" applyBorder="1" applyFill="1" applyFont="1">
      <alignment horizontal="left" readingOrder="0" shrinkToFit="0" vertical="center" wrapText="1"/>
    </xf>
    <xf borderId="4" fillId="3" fontId="29" numFmtId="0" xfId="0" applyAlignment="1" applyBorder="1" applyFill="1" applyFont="1">
      <alignment horizontal="left" readingOrder="0" shrinkToFit="0" vertical="center" wrapText="1"/>
    </xf>
    <xf borderId="4" fillId="5" fontId="31" numFmtId="0" xfId="0" applyAlignment="1" applyBorder="1" applyFill="1" applyFont="1">
      <alignment horizontal="left" readingOrder="0" shrinkToFit="0" vertical="center" wrapText="1"/>
    </xf>
    <xf borderId="4" fillId="0" fontId="32" numFmtId="0" xfId="0" applyAlignment="1" applyBorder="1" applyFont="1">
      <alignment horizontal="left" readingOrder="0" shrinkToFit="0" vertical="center" wrapText="1"/>
    </xf>
    <xf borderId="4" fillId="3" fontId="32" numFmtId="0" xfId="0" applyAlignment="1" applyBorder="1" applyFill="1" applyFont="1">
      <alignment horizontal="left" readingOrder="0" shrinkToFit="0" vertical="center" wrapText="1"/>
    </xf>
    <xf borderId="4" fillId="0" fontId="33" numFmtId="0" xfId="0" applyAlignment="1" applyBorder="1" applyFont="1">
      <alignment horizontal="left" readingOrder="0" shrinkToFit="0" vertical="center" wrapText="1"/>
    </xf>
    <xf borderId="4" fillId="0" fontId="34" numFmtId="0" xfId="0" applyAlignment="1" applyBorder="1" applyFont="1">
      <alignment horizontal="left" readingOrder="0" shrinkToFit="0" vertical="center" wrapText="1"/>
    </xf>
    <xf borderId="4" fillId="0" fontId="25" numFmtId="0" xfId="0" applyAlignment="1" applyBorder="1" applyFont="1">
      <alignment horizontal="center" readingOrder="0" shrinkToFit="0" vertical="center" wrapText="0"/>
    </xf>
    <xf borderId="4" fillId="0" fontId="25" numFmtId="49" xfId="0" applyAlignment="1" applyBorder="1" applyFont="1" applyNumberFormat="1">
      <alignment horizontal="center" readingOrder="0" shrinkToFit="0" vertical="center" wrapText="0"/>
    </xf>
    <xf borderId="4" fillId="0" fontId="35" numFmtId="0" xfId="0" applyAlignment="1" applyBorder="1" applyFont="1">
      <alignment horizontal="center" readingOrder="0" shrinkToFit="0" vertical="center" wrapText="0"/>
    </xf>
    <xf borderId="4" fillId="0" fontId="36" numFmtId="0" xfId="0" applyAlignment="1" applyBorder="1" applyFont="1">
      <alignment readingOrder="0" shrinkToFit="0" vertical="center" wrapText="0"/>
    </xf>
    <xf borderId="4" fillId="4" fontId="35" numFmtId="0" xfId="0" applyAlignment="1" applyBorder="1" applyFill="1" applyFont="1">
      <alignment horizontal="center" readingOrder="0" shrinkToFit="0" vertical="center" wrapText="0"/>
    </xf>
    <xf borderId="4" fillId="4" fontId="36" numFmtId="0" xfId="0" applyAlignment="1" applyBorder="1" applyFill="1" applyFont="1">
      <alignment readingOrder="0" shrinkToFit="0" vertical="center" wrapText="0"/>
    </xf>
    <xf borderId="0" fillId="2" fontId="10" numFmtId="0" xfId="0" applyAlignment="1" applyFill="1" applyFont="1">
      <alignment horizontal="center" readingOrder="0"/>
    </xf>
    <xf borderId="0" fillId="2" fontId="21" numFmtId="0" xfId="0" applyAlignment="1" applyFill="1" applyFont="1">
      <alignment vertical="bottom"/>
    </xf>
    <xf borderId="0" fillId="0" fontId="21" numFmtId="0" xfId="0" applyAlignment="1" applyFont="1">
      <alignment readingOrder="0" vertical="bottom"/>
    </xf>
    <xf borderId="1" fillId="2" fontId="7" numFmtId="1" xfId="0" applyAlignment="1" applyBorder="1" applyFill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Descriptive Statistics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Variable VIF Summary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Regression Results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Dataset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Trials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Variable Summary-style">
      <tableStyleElement dxfId="1" type="headerRow"/>
      <tableStyleElement dxfId="2" type="firstRowStripe"/>
      <tableStyleElement dxfId="4" type="secondRowStripe"/>
      <tableStyleElement dxfId="6" size="0" type="wholeTable"/>
    </tableStyle>
    <tableStyle count="4" pivot="0" name="Summary Table-style">
      <tableStyleElement dxfId="1" type="headerRow"/>
      <tableStyleElement dxfId="2" type="firstRowStripe"/>
      <tableStyleElement dxfId="4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H83" displayName="DataSet" name="DataSet" id="3">
  <tableColumns count="8">
    <tableColumn name="Country Name" id="1"/>
    <tableColumn name="FLFP (%)" id="2"/>
    <tableColumn name="Urban Pop (%)" id="3"/>
    <tableColumn name="log(Fertility)" id="4"/>
    <tableColumn name="log(FemLifeExp)" id="5"/>
    <tableColumn name="South Asia Dummy" id="6"/>
    <tableColumn name="Fertility Rate" id="7"/>
    <tableColumn name="Female Life Exp" id="8"/>
  </tableColumns>
  <tableStyleInfo name="Dataset-style" showColumnStripes="0" showFirstColumn="1" showLastColumn="1" showRowStripes="1"/>
</table>
</file>

<file path=xl/tables/table2.xml><?xml version="1.0" encoding="utf-8"?>
<table xmlns="http://schemas.openxmlformats.org/spreadsheetml/2006/main" ref="A3:H10" displayName="Descriptive_Statistics" name="Descriptive_Statistics" id="2">
  <tableColumns count="8">
    <tableColumn name="Variable" id="1"/>
    <tableColumn name="N" id="2"/>
    <tableColumn name="Mean" id="3"/>
    <tableColumn name="Std Dev" id="4"/>
    <tableColumn name="Min" id="5"/>
    <tableColumn name="Max" id="6"/>
    <tableColumn name="Median" id="7"/>
    <tableColumn name="Role" id="8"/>
  </tableColumns>
  <tableStyleInfo name="Descriptive Statistics-style" showColumnStripes="0" showFirstColumn="1" showLastColumn="1" showRowStripes="1"/>
</table>
</file>

<file path=xl/tables/table3.xml><?xml version="1.0" encoding="utf-8"?>
<table xmlns="http://schemas.openxmlformats.org/spreadsheetml/2006/main" ref="A3:G8" displayName="Table2" name="Table2" id="1">
  <tableColumns count="7">
    <tableColumn name="Variable" id="1"/>
    <tableColumn name="Coefficient (β)" id="2"/>
    <tableColumn name="Std Error" id="3"/>
    <tableColumn name="t-statistic" id="4"/>
    <tableColumn name="p-value" id="5"/>
    <tableColumn name="95% CI Lower" id="6"/>
    <tableColumn name="95% CI Upper" id="7"/>
  </tableColumns>
  <tableStyleInfo name="Regression Results-style" showColumnStripes="0" showFirstColumn="1" showLastColumn="1" showRowStripes="1"/>
</table>
</file>

<file path=xl/tables/table4.xml><?xml version="1.0" encoding="utf-8"?>
<table xmlns="http://schemas.openxmlformats.org/spreadsheetml/2006/main" ref="A3:C7" displayName="Variable_VIF_Summary" name="Variable_VIF_Summary" id="4">
  <tableColumns count="3">
    <tableColumn name="Variable" id="1"/>
    <tableColumn name="VIF" id="2"/>
    <tableColumn name="Interpretation" id="3"/>
  </tableColumns>
  <tableStyleInfo name="Variable VIF Summary-style" showColumnStripes="0" showFirstColumn="1" showLastColumn="1" showRowStripes="1"/>
</table>
</file>

<file path=xl/tables/table5.xml><?xml version="1.0" encoding="utf-8"?>
<table xmlns="http://schemas.openxmlformats.org/spreadsheetml/2006/main" ref="A1:G6" displayName="Table1" name="Table1" id="5">
  <tableColumns count="7">
    <tableColumn name="Stage" id="1"/>
    <tableColumn name="Variables" id="2"/>
    <tableColumn name="Sample" id="3"/>
    <tableColumn name="R^2" id="4"/>
    <tableColumn name="Heteroskedasticity" id="5"/>
    <tableColumn name="Significance of Variables" id="6"/>
    <tableColumn name="Status" id="7"/>
  </tableColumns>
  <tableStyleInfo name="Trials-style" showColumnStripes="0" showFirstColumn="1" showLastColumn="1" showRowStripes="1"/>
</table>
</file>

<file path=xl/tables/table6.xml><?xml version="1.0" encoding="utf-8"?>
<table xmlns="http://schemas.openxmlformats.org/spreadsheetml/2006/main" ref="A1:D6" displayName="Table3" name="Table3" id="6">
  <tableColumns count="4">
    <tableColumn name="Variable" id="1"/>
    <tableColumn name="Description" id="2"/>
    <tableColumn name="WDI Code" id="3"/>
    <tableColumn name="Role" id="4"/>
  </tableColumns>
  <tableStyleInfo name="Variable Summary-style" showColumnStripes="0" showFirstColumn="1" showLastColumn="1" showRowStripes="1"/>
</table>
</file>

<file path=xl/tables/table7.xml><?xml version="1.0" encoding="utf-8"?>
<table xmlns="http://schemas.openxmlformats.org/spreadsheetml/2006/main" ref="A1:G5" displayName="Table4" name="Table4" id="7">
  <tableColumns count="7">
    <tableColumn name="Variable" id="1"/>
    <tableColumn name="Theory" id="2"/>
    <tableColumn name="Expected Sign" id="3"/>
    <tableColumn name="Actual Sign" id="4"/>
    <tableColumn name="β Value" id="5"/>
    <tableColumn name="p-value" id="6"/>
    <tableColumn name="Theory Confirmation" id="7"/>
  </tableColumns>
  <tableStyleInfo name="Summary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57"/>
    <col customWidth="1" min="2" max="2" width="13.43"/>
    <col customWidth="1" min="3" max="3" width="15.57"/>
    <col customWidth="1" min="4" max="5" width="17.57"/>
    <col customWidth="1" min="6" max="6" width="17.0"/>
    <col customWidth="1" min="7" max="7" width="16.86"/>
    <col customWidth="1" min="8" max="8" width="17.43"/>
    <col customWidth="1" min="9" max="26" width="8.71"/>
  </cols>
  <sheetData>
    <row r="1">
      <c r="A1" s="2" t="s">
        <v>1</v>
      </c>
    </row>
    <row r="2" ht="31.5" customHeight="1">
      <c r="A2" s="4"/>
      <c r="B2" s="4"/>
      <c r="C2" s="4"/>
      <c r="D2" s="4"/>
      <c r="E2" s="4"/>
      <c r="F2" s="4"/>
      <c r="G2" s="4"/>
      <c r="H2" s="4"/>
      <c r="J2" s="5"/>
      <c r="K2" s="5"/>
      <c r="L2" s="5"/>
    </row>
    <row r="3" ht="31.5" customHeight="1">
      <c r="A3" s="8" t="s">
        <v>5</v>
      </c>
      <c r="B3" s="8" t="s">
        <v>8</v>
      </c>
      <c r="C3" s="8" t="s">
        <v>12</v>
      </c>
      <c r="D3" s="8" t="s">
        <v>17</v>
      </c>
      <c r="E3" s="8" t="s">
        <v>20</v>
      </c>
      <c r="F3" s="8" t="s">
        <v>24</v>
      </c>
      <c r="G3" s="8" t="s">
        <v>27</v>
      </c>
      <c r="H3" s="8" t="s">
        <v>29</v>
      </c>
      <c r="J3" s="5"/>
      <c r="K3" s="5"/>
      <c r="L3" s="5"/>
    </row>
    <row r="4" ht="22.5" customHeight="1">
      <c r="A4" s="16" t="s">
        <v>30</v>
      </c>
      <c r="B4" s="17">
        <v>56.407</v>
      </c>
      <c r="C4" s="17">
        <v>57.8643477747383</v>
      </c>
      <c r="D4" s="20">
        <v>0.3038014543316642</v>
      </c>
      <c r="E4" s="20">
        <v>4.391741789360451</v>
      </c>
      <c r="F4" s="22">
        <v>0.0</v>
      </c>
      <c r="G4" s="25">
        <v>1.355</v>
      </c>
      <c r="H4" s="17">
        <v>80.781</v>
      </c>
      <c r="I4" s="26"/>
      <c r="J4" s="27"/>
      <c r="K4" s="28"/>
      <c r="L4" s="28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22.5" customHeight="1">
      <c r="A5" s="11" t="s">
        <v>37</v>
      </c>
      <c r="B5" s="30">
        <v>14.331</v>
      </c>
      <c r="C5" s="30">
        <v>74.1795862354514</v>
      </c>
      <c r="D5" s="14">
        <v>1.035672488894236</v>
      </c>
      <c r="E5" s="14">
        <v>4.351464329091241</v>
      </c>
      <c r="F5" s="32">
        <v>0.0</v>
      </c>
      <c r="G5" s="13">
        <v>2.817</v>
      </c>
      <c r="H5" s="30">
        <v>77.592</v>
      </c>
      <c r="J5" s="34"/>
      <c r="K5" s="35"/>
      <c r="L5" s="35"/>
    </row>
    <row r="6" ht="22.5" customHeight="1">
      <c r="A6" s="16" t="s">
        <v>39</v>
      </c>
      <c r="B6" s="17">
        <v>51.868</v>
      </c>
      <c r="C6" s="17">
        <v>92.112838186126</v>
      </c>
      <c r="D6" s="20">
        <v>0.3933925268738951</v>
      </c>
      <c r="E6" s="20">
        <v>4.360777461634708</v>
      </c>
      <c r="F6" s="22">
        <v>0.0</v>
      </c>
      <c r="G6" s="25">
        <v>1.482</v>
      </c>
      <c r="H6" s="17">
        <v>78.318</v>
      </c>
      <c r="I6" s="26"/>
      <c r="J6" s="27"/>
      <c r="K6" s="28"/>
      <c r="L6" s="28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2.5" customHeight="1">
      <c r="A7" s="11" t="s">
        <v>42</v>
      </c>
      <c r="B7" s="30">
        <v>50.24</v>
      </c>
      <c r="C7" s="30">
        <v>65.5624462874485</v>
      </c>
      <c r="D7" s="14">
        <v>0.5306282510621704</v>
      </c>
      <c r="E7" s="14">
        <v>4.360547602996758</v>
      </c>
      <c r="F7" s="32">
        <v>0.0</v>
      </c>
      <c r="G7" s="13">
        <v>1.7</v>
      </c>
      <c r="H7" s="30">
        <v>78.3</v>
      </c>
      <c r="J7" s="34"/>
      <c r="K7" s="35"/>
      <c r="L7" s="35"/>
    </row>
    <row r="8" ht="22.5" customHeight="1">
      <c r="A8" s="16" t="s">
        <v>43</v>
      </c>
      <c r="B8" s="17">
        <v>62.165</v>
      </c>
      <c r="C8" s="17">
        <v>58.4382815854684</v>
      </c>
      <c r="D8" s="20">
        <v>0.5128236264286637</v>
      </c>
      <c r="E8" s="20">
        <v>4.339562667854621</v>
      </c>
      <c r="F8" s="22">
        <v>0.0</v>
      </c>
      <c r="G8" s="25">
        <v>1.67</v>
      </c>
      <c r="H8" s="17">
        <v>76.674</v>
      </c>
      <c r="I8" s="26"/>
      <c r="J8" s="27"/>
      <c r="K8" s="28"/>
      <c r="L8" s="28"/>
      <c r="M8" s="26"/>
      <c r="N8" s="26"/>
      <c r="O8" s="26"/>
      <c r="P8" s="26"/>
      <c r="Q8" s="37"/>
      <c r="R8" s="38"/>
      <c r="S8" s="26"/>
      <c r="T8" s="26"/>
      <c r="U8" s="26"/>
      <c r="V8" s="26"/>
      <c r="W8" s="26"/>
      <c r="X8" s="26"/>
      <c r="Y8" s="26"/>
      <c r="Z8" s="26"/>
    </row>
    <row r="9" ht="22.5" customHeight="1">
      <c r="A9" s="11" t="s">
        <v>47</v>
      </c>
      <c r="B9" s="30">
        <v>43.687</v>
      </c>
      <c r="C9" s="30">
        <v>31.673734726234</v>
      </c>
      <c r="D9" s="14">
        <v>0.7788660559624827</v>
      </c>
      <c r="E9" s="14">
        <v>4.33140416786277</v>
      </c>
      <c r="F9" s="32">
        <v>1.0</v>
      </c>
      <c r="G9" s="13">
        <v>2.179</v>
      </c>
      <c r="H9" s="30">
        <v>76.051</v>
      </c>
      <c r="J9" s="34"/>
      <c r="K9" s="35"/>
      <c r="L9" s="35"/>
    </row>
    <row r="10" ht="22.5" customHeight="1">
      <c r="A10" s="16" t="s">
        <v>56</v>
      </c>
      <c r="B10" s="17">
        <v>57.892</v>
      </c>
      <c r="C10" s="17">
        <v>78.4732787892908</v>
      </c>
      <c r="D10" s="20">
        <v>0.2821668917636708</v>
      </c>
      <c r="E10" s="20">
        <v>4.369473168602261</v>
      </c>
      <c r="F10" s="22">
        <v>0.0</v>
      </c>
      <c r="G10" s="25">
        <v>1.326</v>
      </c>
      <c r="H10" s="17">
        <v>79.002</v>
      </c>
      <c r="I10" s="26"/>
      <c r="J10" s="27"/>
      <c r="K10" s="28"/>
      <c r="L10" s="28"/>
      <c r="M10" s="26"/>
      <c r="N10" s="26"/>
      <c r="O10" s="26"/>
      <c r="P10" s="26"/>
      <c r="Q10" s="26"/>
      <c r="R10" s="55"/>
      <c r="S10" s="26"/>
      <c r="T10" s="26"/>
      <c r="U10" s="26"/>
      <c r="V10" s="26"/>
      <c r="W10" s="26"/>
      <c r="X10" s="26"/>
      <c r="Y10" s="26"/>
      <c r="Z10" s="26"/>
    </row>
    <row r="11" ht="22.5" customHeight="1">
      <c r="A11" s="11" t="s">
        <v>75</v>
      </c>
      <c r="B11" s="30">
        <v>43.563</v>
      </c>
      <c r="C11" s="30">
        <v>42.1373251262137</v>
      </c>
      <c r="D11" s="14">
        <v>0.6673164205254238</v>
      </c>
      <c r="E11" s="14">
        <v>4.318873819668613</v>
      </c>
      <c r="F11" s="32">
        <v>0.0</v>
      </c>
      <c r="G11" s="13">
        <v>1.949</v>
      </c>
      <c r="H11" s="30">
        <v>75.104</v>
      </c>
      <c r="J11" s="34"/>
      <c r="K11" s="35"/>
      <c r="L11" s="35"/>
    </row>
    <row r="12" ht="22.5" customHeight="1">
      <c r="A12" s="16" t="s">
        <v>76</v>
      </c>
      <c r="B12" s="17">
        <v>74.633</v>
      </c>
      <c r="C12" s="17">
        <v>50.9627000010887</v>
      </c>
      <c r="D12" s="20">
        <v>1.533420426010184</v>
      </c>
      <c r="E12" s="20">
        <v>4.123093975508087</v>
      </c>
      <c r="F12" s="22">
        <v>0.0</v>
      </c>
      <c r="G12" s="25">
        <v>4.634</v>
      </c>
      <c r="H12" s="17">
        <v>61.75</v>
      </c>
      <c r="I12" s="26"/>
      <c r="J12" s="27"/>
      <c r="K12" s="28"/>
      <c r="L12" s="28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2.5" customHeight="1">
      <c r="A13" s="11" t="s">
        <v>77</v>
      </c>
      <c r="B13" s="30">
        <v>52.51</v>
      </c>
      <c r="C13" s="30">
        <v>40.9365143617581</v>
      </c>
      <c r="D13" s="14">
        <v>0.39068982252601</v>
      </c>
      <c r="E13" s="14">
        <v>4.313774560157658</v>
      </c>
      <c r="F13" s="32">
        <v>1.0</v>
      </c>
      <c r="G13" s="13">
        <v>1.478</v>
      </c>
      <c r="H13" s="30">
        <v>74.722</v>
      </c>
      <c r="J13" s="34"/>
      <c r="K13" s="35"/>
      <c r="L13" s="35"/>
      <c r="Q13" s="76"/>
      <c r="R13" s="77"/>
    </row>
    <row r="14" ht="22.5" customHeight="1">
      <c r="A14" s="16" t="s">
        <v>79</v>
      </c>
      <c r="B14" s="17">
        <v>71.715</v>
      </c>
      <c r="C14" s="17">
        <v>70.6352598708131</v>
      </c>
      <c r="D14" s="20">
        <v>0.9493385859203555</v>
      </c>
      <c r="E14" s="20">
        <v>4.252131480058304</v>
      </c>
      <c r="F14" s="22">
        <v>0.0</v>
      </c>
      <c r="G14" s="25">
        <v>2.584</v>
      </c>
      <c r="H14" s="17">
        <v>70.255</v>
      </c>
      <c r="I14" s="26"/>
      <c r="J14" s="27"/>
      <c r="K14" s="28"/>
      <c r="L14" s="28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2.5" customHeight="1">
      <c r="A15" s="11" t="s">
        <v>80</v>
      </c>
      <c r="B15" s="30">
        <v>38.537</v>
      </c>
      <c r="C15" s="30">
        <v>51.0215287060993</v>
      </c>
      <c r="D15" s="14">
        <v>0.3927175352856618</v>
      </c>
      <c r="E15" s="14">
        <v>4.391085479162228</v>
      </c>
      <c r="F15" s="32">
        <v>0.0</v>
      </c>
      <c r="G15" s="13">
        <v>1.481</v>
      </c>
      <c r="H15" s="30">
        <v>80.728</v>
      </c>
      <c r="J15" s="34"/>
      <c r="K15" s="35"/>
      <c r="L15" s="35"/>
    </row>
    <row r="16" ht="22.5" customHeight="1">
      <c r="A16" s="16" t="s">
        <v>82</v>
      </c>
      <c r="B16" s="17">
        <v>53.864</v>
      </c>
      <c r="C16" s="17">
        <v>87.349556243881</v>
      </c>
      <c r="D16" s="20">
        <v>0.4879663296199081</v>
      </c>
      <c r="E16" s="20">
        <v>4.357913229310614</v>
      </c>
      <c r="F16" s="22">
        <v>0.0</v>
      </c>
      <c r="G16" s="25">
        <v>1.629</v>
      </c>
      <c r="H16" s="17">
        <v>78.094</v>
      </c>
      <c r="I16" s="26"/>
      <c r="J16" s="27"/>
      <c r="K16" s="28"/>
      <c r="L16" s="28"/>
      <c r="M16" s="26"/>
      <c r="N16" s="26"/>
      <c r="O16" s="26"/>
      <c r="P16" s="26"/>
      <c r="Q16" s="38"/>
      <c r="R16" s="37"/>
      <c r="S16" s="37"/>
      <c r="T16" s="37"/>
      <c r="U16" s="37"/>
      <c r="V16" s="37"/>
      <c r="W16" s="26"/>
      <c r="X16" s="26"/>
      <c r="Y16" s="26"/>
      <c r="Z16" s="26"/>
    </row>
    <row r="17" ht="22.5" customHeight="1">
      <c r="A17" s="11" t="s">
        <v>83</v>
      </c>
      <c r="B17" s="30">
        <v>65.403</v>
      </c>
      <c r="C17" s="30">
        <v>27.2791369742712</v>
      </c>
      <c r="D17" s="14">
        <v>1.452784102388724</v>
      </c>
      <c r="E17" s="14">
        <v>4.136094126416563</v>
      </c>
      <c r="F17" s="32">
        <v>0.0</v>
      </c>
      <c r="G17" s="13">
        <v>4.275</v>
      </c>
      <c r="H17" s="30">
        <v>62.558</v>
      </c>
      <c r="J17" s="34"/>
      <c r="K17" s="35"/>
      <c r="L17" s="35"/>
      <c r="V17" s="77"/>
    </row>
    <row r="18" ht="22.5" customHeight="1">
      <c r="A18" s="16" t="s">
        <v>84</v>
      </c>
      <c r="B18" s="17">
        <v>49.927</v>
      </c>
      <c r="C18" s="17">
        <v>75.033738060849</v>
      </c>
      <c r="D18" s="20">
        <v>0.427226599889677</v>
      </c>
      <c r="E18" s="20">
        <v>4.370156462103394</v>
      </c>
      <c r="F18" s="22">
        <v>0.0</v>
      </c>
      <c r="G18" s="25">
        <v>1.533</v>
      </c>
      <c r="H18" s="17">
        <v>79.056</v>
      </c>
      <c r="I18" s="26"/>
      <c r="J18" s="27"/>
      <c r="K18" s="28"/>
      <c r="L18" s="28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22.5" customHeight="1">
      <c r="A19" s="11" t="s">
        <v>85</v>
      </c>
      <c r="B19" s="30">
        <v>77.173</v>
      </c>
      <c r="C19" s="30">
        <v>40.374616187368</v>
      </c>
      <c r="D19" s="14">
        <v>0.9616464335949523</v>
      </c>
      <c r="E19" s="14">
        <v>4.291445256442644</v>
      </c>
      <c r="F19" s="32">
        <v>0.0</v>
      </c>
      <c r="G19" s="13">
        <v>2.616</v>
      </c>
      <c r="H19" s="30">
        <v>73.072</v>
      </c>
      <c r="J19" s="34"/>
      <c r="K19" s="35"/>
      <c r="L19" s="35"/>
      <c r="Q19" s="76"/>
      <c r="R19" s="77"/>
      <c r="S19" s="77"/>
    </row>
    <row r="20" ht="22.5" customHeight="1">
      <c r="A20" s="16" t="s">
        <v>86</v>
      </c>
      <c r="B20" s="17">
        <v>57.098</v>
      </c>
      <c r="C20" s="17">
        <v>54.8458745688318</v>
      </c>
      <c r="D20" s="20">
        <v>1.480922490198673</v>
      </c>
      <c r="E20" s="20">
        <v>4.168740588122454</v>
      </c>
      <c r="F20" s="22">
        <v>0.0</v>
      </c>
      <c r="G20" s="25">
        <v>4.397</v>
      </c>
      <c r="H20" s="17">
        <v>64.634</v>
      </c>
      <c r="I20" s="26"/>
      <c r="J20" s="27"/>
      <c r="K20" s="28"/>
      <c r="L20" s="28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22.5" customHeight="1">
      <c r="A21" s="11" t="s">
        <v>87</v>
      </c>
      <c r="B21" s="30">
        <v>50.922</v>
      </c>
      <c r="C21" s="30">
        <v>78.0464633137335</v>
      </c>
      <c r="D21" s="14">
        <v>0.5086232002107907</v>
      </c>
      <c r="E21" s="14">
        <v>4.37539217523771</v>
      </c>
      <c r="F21" s="32">
        <v>0.0</v>
      </c>
      <c r="G21" s="13">
        <v>1.663</v>
      </c>
      <c r="H21" s="30">
        <v>79.471</v>
      </c>
      <c r="J21" s="34"/>
      <c r="K21" s="35"/>
      <c r="L21" s="35"/>
      <c r="Q21" s="83"/>
      <c r="R21" s="84"/>
      <c r="S21" s="84"/>
      <c r="T21" s="84"/>
      <c r="U21" s="84"/>
      <c r="V21" s="84"/>
      <c r="W21" s="84"/>
      <c r="X21" s="84"/>
      <c r="Y21" s="84"/>
    </row>
    <row r="22" ht="15.75" customHeight="1">
      <c r="A22" s="16" t="s">
        <v>88</v>
      </c>
      <c r="B22" s="17">
        <v>59.059</v>
      </c>
      <c r="C22" s="17">
        <v>52.8492549676673</v>
      </c>
      <c r="D22" s="20">
        <v>1.469945933615501</v>
      </c>
      <c r="E22" s="20">
        <v>4.154671100400336</v>
      </c>
      <c r="F22" s="22">
        <v>0.0</v>
      </c>
      <c r="G22" s="25">
        <v>4.349</v>
      </c>
      <c r="H22" s="17">
        <v>63.731</v>
      </c>
      <c r="I22" s="26"/>
      <c r="J22" s="27"/>
      <c r="K22" s="28"/>
      <c r="L22" s="28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5.75" customHeight="1">
      <c r="A23" s="11" t="s">
        <v>89</v>
      </c>
      <c r="B23" s="30">
        <v>50.478</v>
      </c>
      <c r="C23" s="30">
        <v>72.4203155643711</v>
      </c>
      <c r="D23" s="14">
        <v>0.8184573715253919</v>
      </c>
      <c r="E23" s="14">
        <v>4.355605654316081</v>
      </c>
      <c r="F23" s="32">
        <v>0.0</v>
      </c>
      <c r="G23" s="13">
        <v>2.267</v>
      </c>
      <c r="H23" s="30">
        <v>77.914</v>
      </c>
      <c r="J23" s="34"/>
      <c r="K23" s="35"/>
      <c r="L23" s="35"/>
      <c r="U23" s="77"/>
    </row>
    <row r="24" ht="15.75" customHeight="1">
      <c r="A24" s="16" t="s">
        <v>91</v>
      </c>
      <c r="B24" s="17">
        <v>58.6193724805824</v>
      </c>
      <c r="C24" s="17">
        <v>60.8301827838521</v>
      </c>
      <c r="D24" s="20">
        <v>0.3223606150303211</v>
      </c>
      <c r="E24" s="20">
        <v>4.368127379905689</v>
      </c>
      <c r="F24" s="22">
        <v>0.0</v>
      </c>
      <c r="G24" s="25">
        <v>1.38038247288067</v>
      </c>
      <c r="H24" s="17">
        <v>78.89575151143687</v>
      </c>
      <c r="I24" s="26"/>
      <c r="J24" s="27"/>
      <c r="K24" s="28"/>
      <c r="L24" s="28"/>
      <c r="M24" s="26"/>
      <c r="N24" s="26"/>
      <c r="O24" s="26"/>
      <c r="P24" s="26"/>
      <c r="Q24" s="26"/>
      <c r="R24" s="26"/>
      <c r="S24" s="26"/>
      <c r="T24" s="26"/>
      <c r="U24" s="55"/>
      <c r="V24" s="26"/>
      <c r="W24" s="26"/>
      <c r="X24" s="26"/>
      <c r="Y24" s="26"/>
      <c r="Z24" s="26"/>
    </row>
    <row r="25" ht="15.75" customHeight="1">
      <c r="A25" s="11" t="s">
        <v>93</v>
      </c>
      <c r="B25" s="30">
        <v>58.8626535061629</v>
      </c>
      <c r="C25" s="30">
        <v>60.8593968560328</v>
      </c>
      <c r="D25" s="14">
        <v>0.326080203615809</v>
      </c>
      <c r="E25" s="14">
        <v>4.367619670754411</v>
      </c>
      <c r="F25" s="32">
        <v>0.0</v>
      </c>
      <c r="G25" s="13">
        <v>1.38552648865081</v>
      </c>
      <c r="H25" s="30">
        <v>78.85570558309985</v>
      </c>
      <c r="J25" s="34"/>
      <c r="K25" s="35"/>
      <c r="L25" s="35"/>
    </row>
    <row r="26" ht="15.75" customHeight="1">
      <c r="A26" s="16" t="s">
        <v>94</v>
      </c>
      <c r="B26" s="17">
        <v>54.244</v>
      </c>
      <c r="C26" s="17">
        <v>63.0901835932266</v>
      </c>
      <c r="D26" s="20">
        <v>0.6211139776601137</v>
      </c>
      <c r="E26" s="20">
        <v>4.375417341333947</v>
      </c>
      <c r="F26" s="22">
        <v>0.0</v>
      </c>
      <c r="G26" s="25">
        <v>1.861</v>
      </c>
      <c r="H26" s="17">
        <v>79.473</v>
      </c>
      <c r="I26" s="26"/>
      <c r="J26" s="27"/>
      <c r="K26" s="28"/>
      <c r="L26" s="28"/>
      <c r="M26" s="26"/>
      <c r="N26" s="26"/>
      <c r="O26" s="26"/>
      <c r="P26" s="26"/>
      <c r="Q26" s="92"/>
      <c r="R26" s="55"/>
      <c r="S26" s="55"/>
      <c r="T26" s="55"/>
      <c r="U26" s="55"/>
      <c r="V26" s="55"/>
      <c r="W26" s="55"/>
      <c r="X26" s="55"/>
      <c r="Y26" s="55"/>
      <c r="Z26" s="26"/>
    </row>
    <row r="27" ht="15.75" customHeight="1">
      <c r="A27" s="11" t="s">
        <v>95</v>
      </c>
      <c r="B27" s="30">
        <v>46.028</v>
      </c>
      <c r="C27" s="30">
        <v>74.1465021298679</v>
      </c>
      <c r="D27" s="14">
        <v>0.5794184152316023</v>
      </c>
      <c r="E27" s="14">
        <v>4.332888910112334</v>
      </c>
      <c r="F27" s="32">
        <v>0.0</v>
      </c>
      <c r="G27" s="13">
        <v>1.785</v>
      </c>
      <c r="H27" s="30">
        <v>76.164</v>
      </c>
      <c r="J27" s="34"/>
      <c r="K27" s="35"/>
      <c r="L27" s="35"/>
    </row>
    <row r="28" ht="15.75" customHeight="1">
      <c r="A28" s="16" t="s">
        <v>96</v>
      </c>
      <c r="B28" s="17">
        <v>47.227</v>
      </c>
      <c r="C28" s="17">
        <v>25.396682918542</v>
      </c>
      <c r="D28" s="20">
        <v>1.029976496277972</v>
      </c>
      <c r="E28" s="20">
        <v>4.187516093109895</v>
      </c>
      <c r="F28" s="22">
        <v>0.0</v>
      </c>
      <c r="G28" s="25">
        <v>2.801</v>
      </c>
      <c r="H28" s="17">
        <v>65.859</v>
      </c>
      <c r="I28" s="26"/>
      <c r="J28" s="27"/>
      <c r="K28" s="28"/>
      <c r="L28" s="28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5.75" customHeight="1">
      <c r="A29" s="11" t="s">
        <v>97</v>
      </c>
      <c r="B29" s="30">
        <v>48.7064271200428</v>
      </c>
      <c r="C29" s="30">
        <v>68.9112783282391</v>
      </c>
      <c r="D29" s="14">
        <v>0.5587419614148836</v>
      </c>
      <c r="E29" s="14">
        <v>4.362850354104566</v>
      </c>
      <c r="F29" s="32">
        <v>0.0</v>
      </c>
      <c r="G29" s="13">
        <v>1.74847147152068</v>
      </c>
      <c r="H29" s="30">
        <v>78.48051317042629</v>
      </c>
      <c r="J29" s="34"/>
      <c r="K29" s="35"/>
      <c r="L29" s="35"/>
      <c r="O29" s="84"/>
      <c r="P29" s="83"/>
      <c r="Q29" s="93"/>
    </row>
    <row r="30" ht="15.75" customHeight="1">
      <c r="A30" s="16" t="s">
        <v>99</v>
      </c>
      <c r="B30" s="17">
        <v>43.3115733807368</v>
      </c>
      <c r="C30" s="17">
        <v>68.1628939259503</v>
      </c>
      <c r="D30" s="20">
        <v>0.6923586967176053</v>
      </c>
      <c r="E30" s="20">
        <v>4.362412820560639</v>
      </c>
      <c r="F30" s="22">
        <v>0.0</v>
      </c>
      <c r="G30" s="25">
        <v>1.99842365385872</v>
      </c>
      <c r="H30" s="17">
        <v>78.44618282425628</v>
      </c>
      <c r="I30" s="26"/>
      <c r="J30" s="27"/>
      <c r="K30" s="28"/>
      <c r="L30" s="28"/>
      <c r="M30" s="26"/>
      <c r="N30" s="26"/>
      <c r="O30" s="92"/>
      <c r="P30" s="55"/>
      <c r="Q30" s="100"/>
      <c r="R30" s="26"/>
      <c r="S30" s="26"/>
      <c r="T30" s="26"/>
      <c r="U30" s="26"/>
      <c r="V30" s="26"/>
      <c r="W30" s="26"/>
      <c r="X30" s="26"/>
      <c r="Y30" s="26"/>
      <c r="Z30" s="26"/>
    </row>
    <row r="31" ht="15.75" customHeight="1">
      <c r="A31" s="11" t="s">
        <v>108</v>
      </c>
      <c r="B31" s="30">
        <v>38.205</v>
      </c>
      <c r="C31" s="30">
        <v>58.1352701465266</v>
      </c>
      <c r="D31" s="14">
        <v>0.835080676448612</v>
      </c>
      <c r="E31" s="14">
        <v>4.237564287684939</v>
      </c>
      <c r="F31" s="32">
        <v>0.0</v>
      </c>
      <c r="G31" s="13">
        <v>2.305</v>
      </c>
      <c r="H31" s="30">
        <v>69.239</v>
      </c>
      <c r="J31" s="34"/>
      <c r="K31" s="35"/>
      <c r="L31" s="35"/>
    </row>
    <row r="32" ht="15.75" customHeight="1">
      <c r="A32" s="16" t="s">
        <v>109</v>
      </c>
      <c r="B32" s="17">
        <v>55.755</v>
      </c>
      <c r="C32" s="17">
        <v>60.0101622679115</v>
      </c>
      <c r="D32" s="20">
        <v>0.598836501088704</v>
      </c>
      <c r="E32" s="20">
        <v>4.370055262892662</v>
      </c>
      <c r="F32" s="22">
        <v>0.0</v>
      </c>
      <c r="G32" s="25">
        <v>1.82</v>
      </c>
      <c r="H32" s="17">
        <v>79.048</v>
      </c>
      <c r="I32" s="26"/>
      <c r="J32" s="27"/>
      <c r="K32" s="28"/>
      <c r="L32" s="28"/>
      <c r="M32" s="26"/>
      <c r="N32" s="26"/>
      <c r="O32" s="92"/>
      <c r="P32" s="55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5.75" customHeight="1">
      <c r="A33" s="11" t="s">
        <v>117</v>
      </c>
      <c r="B33" s="30">
        <v>55.507</v>
      </c>
      <c r="C33" s="30">
        <v>57.250609602871</v>
      </c>
      <c r="D33" s="14">
        <v>1.233725762475284</v>
      </c>
      <c r="E33" s="14">
        <v>4.213770691704639</v>
      </c>
      <c r="F33" s="32">
        <v>0.0</v>
      </c>
      <c r="G33" s="13">
        <v>3.434</v>
      </c>
      <c r="H33" s="30">
        <v>67.611</v>
      </c>
      <c r="J33" s="34"/>
      <c r="K33" s="35"/>
      <c r="L33" s="35"/>
      <c r="Q33" s="84"/>
      <c r="R33" s="83"/>
    </row>
    <row r="34" ht="15.75" customHeight="1">
      <c r="A34" s="16" t="s">
        <v>128</v>
      </c>
      <c r="B34" s="17">
        <v>40.502</v>
      </c>
      <c r="C34" s="17">
        <v>55.2581228215265</v>
      </c>
      <c r="D34" s="20">
        <v>0.8514321595256585</v>
      </c>
      <c r="E34" s="20">
        <v>4.300260567869684</v>
      </c>
      <c r="F34" s="22">
        <v>0.0</v>
      </c>
      <c r="G34" s="25">
        <v>2.343</v>
      </c>
      <c r="H34" s="17">
        <v>73.719</v>
      </c>
      <c r="I34" s="26"/>
      <c r="J34" s="27"/>
      <c r="K34" s="28"/>
      <c r="L34" s="28"/>
      <c r="M34" s="26"/>
      <c r="N34" s="26"/>
      <c r="O34" s="92"/>
      <c r="P34" s="55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5.75" customHeight="1">
      <c r="A35" s="11" t="s">
        <v>139</v>
      </c>
      <c r="B35" s="30">
        <v>56.7814369351425</v>
      </c>
      <c r="C35" s="30">
        <v>36.9472479538651</v>
      </c>
      <c r="D35" s="14">
        <v>1.514315125960297</v>
      </c>
      <c r="E35" s="14">
        <v>4.193440086680386</v>
      </c>
      <c r="F35" s="32">
        <v>0.0</v>
      </c>
      <c r="G35" s="13">
        <v>4.54630641313522</v>
      </c>
      <c r="H35" s="30">
        <v>66.2503061958887</v>
      </c>
      <c r="J35" s="34"/>
      <c r="K35" s="35"/>
      <c r="L35" s="35"/>
    </row>
    <row r="36" ht="15.75" customHeight="1">
      <c r="A36" s="16" t="s">
        <v>146</v>
      </c>
      <c r="B36" s="17">
        <v>43.606</v>
      </c>
      <c r="C36" s="17">
        <v>57.8364689017254</v>
      </c>
      <c r="D36" s="20">
        <v>0.9250522375427277</v>
      </c>
      <c r="E36" s="20">
        <v>4.322077565870118</v>
      </c>
      <c r="F36" s="22">
        <v>0.0</v>
      </c>
      <c r="G36" s="25">
        <v>2.522</v>
      </c>
      <c r="H36" s="17">
        <v>75.345</v>
      </c>
      <c r="I36" s="26"/>
      <c r="J36" s="27"/>
      <c r="K36" s="28"/>
      <c r="L36" s="28"/>
      <c r="M36" s="26"/>
      <c r="N36" s="26"/>
      <c r="O36" s="92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5.75" customHeight="1">
      <c r="A37" s="11" t="s">
        <v>156</v>
      </c>
      <c r="B37" s="30">
        <v>29.348</v>
      </c>
      <c r="C37" s="30">
        <v>34.7555673994206</v>
      </c>
      <c r="D37" s="14">
        <v>0.6901426715396466</v>
      </c>
      <c r="E37" s="14">
        <v>4.294164896229413</v>
      </c>
      <c r="F37" s="32">
        <v>1.0</v>
      </c>
      <c r="G37" s="13">
        <v>1.994</v>
      </c>
      <c r="H37" s="30">
        <v>73.271</v>
      </c>
      <c r="J37" s="34"/>
      <c r="K37" s="35"/>
      <c r="L37" s="35"/>
      <c r="O37" s="83"/>
      <c r="P37" s="84"/>
      <c r="Q37" s="84"/>
      <c r="R37" s="84"/>
      <c r="S37" s="84"/>
      <c r="T37" s="84"/>
    </row>
    <row r="38" ht="15.75" customHeight="1">
      <c r="A38" s="16" t="s">
        <v>161</v>
      </c>
      <c r="B38" s="17">
        <v>52.562</v>
      </c>
      <c r="C38" s="17">
        <v>57.4934704226599</v>
      </c>
      <c r="D38" s="20">
        <v>0.7650026176603734</v>
      </c>
      <c r="E38" s="20">
        <v>4.290199133298639</v>
      </c>
      <c r="F38" s="22">
        <v>0.0</v>
      </c>
      <c r="G38" s="25">
        <v>2.149</v>
      </c>
      <c r="H38" s="17">
        <v>72.981</v>
      </c>
      <c r="I38" s="26"/>
      <c r="J38" s="27"/>
      <c r="K38" s="28"/>
      <c r="L38" s="28"/>
      <c r="M38" s="26"/>
      <c r="N38" s="26"/>
      <c r="O38" s="92"/>
      <c r="P38" s="55"/>
      <c r="Q38" s="92"/>
      <c r="R38" s="55"/>
      <c r="S38" s="55"/>
      <c r="T38" s="55"/>
      <c r="U38" s="26"/>
      <c r="V38" s="26"/>
      <c r="W38" s="26"/>
      <c r="X38" s="26"/>
      <c r="Y38" s="26"/>
      <c r="Z38" s="26"/>
    </row>
    <row r="39" ht="15.75" customHeight="1">
      <c r="A39" s="11" t="s">
        <v>165</v>
      </c>
      <c r="B39" s="30">
        <v>60.803</v>
      </c>
      <c r="C39" s="30">
        <v>57.9879906034775</v>
      </c>
      <c r="D39" s="14">
        <v>0.3162695293036936</v>
      </c>
      <c r="E39" s="14">
        <v>4.303781269146149</v>
      </c>
      <c r="F39" s="32">
        <v>0.0</v>
      </c>
      <c r="G39" s="13">
        <v>1.372</v>
      </c>
      <c r="H39" s="30">
        <v>73.979</v>
      </c>
      <c r="J39" s="34"/>
      <c r="K39" s="35"/>
      <c r="L39" s="35"/>
    </row>
    <row r="40" ht="15.75" customHeight="1">
      <c r="A40" s="16" t="s">
        <v>166</v>
      </c>
      <c r="B40" s="17">
        <v>13.922</v>
      </c>
      <c r="C40" s="17">
        <v>92.4048379066163</v>
      </c>
      <c r="D40" s="20">
        <v>0.9854435905624717</v>
      </c>
      <c r="E40" s="20">
        <v>4.374913899036678</v>
      </c>
      <c r="F40" s="22">
        <v>0.0</v>
      </c>
      <c r="G40" s="25">
        <v>2.679</v>
      </c>
      <c r="H40" s="17">
        <v>79.433</v>
      </c>
      <c r="I40" s="26"/>
      <c r="J40" s="27"/>
      <c r="K40" s="28"/>
      <c r="L40" s="28"/>
      <c r="M40" s="26"/>
      <c r="N40" s="26"/>
      <c r="O40" s="92"/>
      <c r="P40" s="55"/>
      <c r="Q40" s="55"/>
      <c r="R40" s="26"/>
      <c r="S40" s="26"/>
      <c r="T40" s="26"/>
      <c r="U40" s="26"/>
      <c r="V40" s="26"/>
      <c r="W40" s="26"/>
      <c r="X40" s="26"/>
      <c r="Y40" s="26"/>
      <c r="Z40" s="26"/>
    </row>
    <row r="41" ht="15.75" customHeight="1">
      <c r="A41" s="11" t="s">
        <v>167</v>
      </c>
      <c r="B41" s="30">
        <v>64.743</v>
      </c>
      <c r="C41" s="30">
        <v>61.444157327248</v>
      </c>
      <c r="D41" s="14">
        <v>1.11514159061932</v>
      </c>
      <c r="E41" s="14">
        <v>4.353524274201169</v>
      </c>
      <c r="F41" s="32">
        <v>0.0</v>
      </c>
      <c r="G41" s="13">
        <v>3.05</v>
      </c>
      <c r="H41" s="30">
        <v>77.752</v>
      </c>
      <c r="J41" s="34"/>
      <c r="K41" s="35"/>
      <c r="L41" s="35"/>
      <c r="Q41" s="83"/>
      <c r="R41" s="84"/>
      <c r="S41" s="84"/>
      <c r="T41" s="84"/>
      <c r="U41" s="84"/>
      <c r="V41" s="84"/>
    </row>
    <row r="42" ht="15.75" customHeight="1">
      <c r="A42" s="16" t="s">
        <v>168</v>
      </c>
      <c r="B42" s="17">
        <v>62.832</v>
      </c>
      <c r="C42" s="17">
        <v>31.4307820066946</v>
      </c>
      <c r="D42" s="20">
        <v>1.182340504198822</v>
      </c>
      <c r="E42" s="20">
        <v>4.187667921119418</v>
      </c>
      <c r="F42" s="22">
        <v>0.0</v>
      </c>
      <c r="G42" s="25">
        <v>3.262</v>
      </c>
      <c r="H42" s="17">
        <v>65.869</v>
      </c>
      <c r="I42" s="26"/>
      <c r="J42" s="27"/>
      <c r="K42" s="28"/>
      <c r="L42" s="28"/>
      <c r="M42" s="26"/>
      <c r="N42" s="26"/>
      <c r="O42" s="38"/>
      <c r="P42" s="37"/>
      <c r="Q42" s="37"/>
      <c r="R42" s="37"/>
      <c r="S42" s="37"/>
      <c r="T42" s="37"/>
      <c r="U42" s="37"/>
      <c r="V42" s="37"/>
      <c r="W42" s="37"/>
      <c r="X42" s="26"/>
      <c r="Y42" s="26"/>
      <c r="Z42" s="26"/>
    </row>
    <row r="43" ht="15.75" customHeight="1">
      <c r="A43" s="11" t="s">
        <v>169</v>
      </c>
      <c r="B43" s="30">
        <v>61.37</v>
      </c>
      <c r="C43" s="30">
        <v>38.0682382805397</v>
      </c>
      <c r="D43" s="14">
        <v>0.8981267612464839</v>
      </c>
      <c r="E43" s="14">
        <v>4.262679877041315</v>
      </c>
      <c r="F43" s="32">
        <v>0.0</v>
      </c>
      <c r="G43" s="13">
        <v>2.455</v>
      </c>
      <c r="H43" s="30">
        <v>71.0</v>
      </c>
      <c r="J43" s="34"/>
      <c r="K43" s="35"/>
      <c r="L43" s="35"/>
    </row>
    <row r="44" ht="15.75" customHeight="1">
      <c r="A44" s="16" t="s">
        <v>170</v>
      </c>
      <c r="B44" s="17">
        <v>52.010624115289</v>
      </c>
      <c r="C44" s="17">
        <v>80.294444140205</v>
      </c>
      <c r="D44" s="20">
        <v>0.6019922899611917</v>
      </c>
      <c r="E44" s="20">
        <v>4.349650707485157</v>
      </c>
      <c r="F44" s="22">
        <v>0.0</v>
      </c>
      <c r="G44" s="25">
        <v>1.82575260798187</v>
      </c>
      <c r="H44" s="17">
        <v>77.45140500393934</v>
      </c>
      <c r="I44" s="26"/>
      <c r="J44" s="27"/>
      <c r="K44" s="28"/>
      <c r="L44" s="28"/>
      <c r="M44" s="26"/>
      <c r="N44" s="26"/>
      <c r="O44" s="92"/>
      <c r="P44" s="55"/>
      <c r="Q44" s="92"/>
      <c r="R44" s="55"/>
      <c r="S44" s="55"/>
      <c r="T44" s="55"/>
      <c r="U44" s="55"/>
      <c r="V44" s="55"/>
      <c r="W44" s="55"/>
      <c r="X44" s="26"/>
      <c r="Y44" s="26"/>
      <c r="Z44" s="26"/>
    </row>
    <row r="45" ht="15.75" customHeight="1">
      <c r="A45" s="11" t="s">
        <v>171</v>
      </c>
      <c r="B45" s="30">
        <v>51.4313365004695</v>
      </c>
      <c r="C45" s="30">
        <v>80.8195255101746</v>
      </c>
      <c r="D45" s="14">
        <v>0.5999523110287577</v>
      </c>
      <c r="E45" s="14">
        <v>4.35118922117821</v>
      </c>
      <c r="F45" s="32">
        <v>0.0</v>
      </c>
      <c r="G45" s="13">
        <v>1.82203190749137</v>
      </c>
      <c r="H45" s="30">
        <v>77.57065676279336</v>
      </c>
      <c r="J45" s="34"/>
      <c r="K45" s="35"/>
      <c r="L45" s="35"/>
    </row>
    <row r="46" ht="15.75" customHeight="1">
      <c r="A46" s="16" t="s">
        <v>172</v>
      </c>
      <c r="B46" s="17">
        <v>51.8855071807912</v>
      </c>
      <c r="C46" s="17">
        <v>35.2589263540141</v>
      </c>
      <c r="D46" s="20">
        <v>1.388223067921681</v>
      </c>
      <c r="E46" s="20">
        <v>4.221451529501851</v>
      </c>
      <c r="F46" s="22">
        <v>0.0</v>
      </c>
      <c r="G46" s="25">
        <v>4.0077222718124</v>
      </c>
      <c r="H46" s="17">
        <v>68.13230860483277</v>
      </c>
      <c r="I46" s="26"/>
      <c r="J46" s="27"/>
      <c r="K46" s="28"/>
      <c r="L46" s="28"/>
      <c r="M46" s="26"/>
      <c r="N46" s="26"/>
      <c r="O46" s="92"/>
      <c r="P46" s="55"/>
      <c r="Q46" s="122"/>
      <c r="R46" s="37"/>
      <c r="S46" s="37"/>
      <c r="T46" s="37"/>
      <c r="U46" s="37"/>
      <c r="V46" s="37"/>
      <c r="W46" s="37"/>
      <c r="X46" s="37"/>
      <c r="Y46" s="37"/>
      <c r="Z46" s="26"/>
    </row>
    <row r="47" ht="15.75" customHeight="1">
      <c r="A47" s="11" t="s">
        <v>173</v>
      </c>
      <c r="B47" s="30">
        <v>22.339</v>
      </c>
      <c r="C47" s="30">
        <v>90.206313713022</v>
      </c>
      <c r="D47" s="14">
        <v>0.8166913666514003</v>
      </c>
      <c r="E47" s="14">
        <v>4.380325188034124</v>
      </c>
      <c r="F47" s="32">
        <v>0.0</v>
      </c>
      <c r="G47" s="13">
        <v>2.263</v>
      </c>
      <c r="H47" s="30">
        <v>79.864</v>
      </c>
      <c r="J47" s="34"/>
      <c r="K47" s="35"/>
      <c r="L47" s="35"/>
      <c r="O47" s="76"/>
      <c r="P47" s="77"/>
      <c r="Q47" s="77"/>
      <c r="R47" s="77"/>
      <c r="S47" s="77"/>
      <c r="T47" s="77"/>
      <c r="U47" s="77"/>
      <c r="V47" s="77"/>
      <c r="W47" s="77"/>
    </row>
    <row r="48" ht="15.75" customHeight="1">
      <c r="A48" s="16" t="s">
        <v>174</v>
      </c>
      <c r="B48" s="17">
        <v>58.75</v>
      </c>
      <c r="C48" s="17">
        <v>16.7146031979436</v>
      </c>
      <c r="D48" s="20">
        <v>1.313723668285055</v>
      </c>
      <c r="E48" s="20">
        <v>4.239584228062117</v>
      </c>
      <c r="F48" s="22">
        <v>0.0</v>
      </c>
      <c r="G48" s="25">
        <v>3.72</v>
      </c>
      <c r="H48" s="17">
        <v>69.379</v>
      </c>
      <c r="I48" s="26"/>
      <c r="J48" s="27"/>
      <c r="K48" s="28"/>
      <c r="L48" s="28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5.75" customHeight="1">
      <c r="A49" s="11" t="s">
        <v>175</v>
      </c>
      <c r="B49" s="30">
        <v>51.597</v>
      </c>
      <c r="C49" s="30">
        <v>75.9741357073003</v>
      </c>
      <c r="D49" s="14">
        <v>0.4382549309311553</v>
      </c>
      <c r="E49" s="14">
        <v>4.359180129478146</v>
      </c>
      <c r="F49" s="32">
        <v>0.0</v>
      </c>
      <c r="G49" s="13">
        <v>1.55</v>
      </c>
      <c r="H49" s="30">
        <v>78.193</v>
      </c>
      <c r="J49" s="34"/>
      <c r="K49" s="35"/>
      <c r="L49" s="35"/>
    </row>
    <row r="50" ht="15.75" customHeight="1">
      <c r="A50" s="16" t="s">
        <v>176</v>
      </c>
      <c r="B50" s="17">
        <v>40.171</v>
      </c>
      <c r="C50" s="17">
        <v>41.0641769690663</v>
      </c>
      <c r="D50" s="20">
        <v>0.4593217808988751</v>
      </c>
      <c r="E50" s="20">
        <v>4.413355713710606</v>
      </c>
      <c r="F50" s="22">
        <v>1.0</v>
      </c>
      <c r="G50" s="25">
        <v>1.583</v>
      </c>
      <c r="H50" s="17">
        <v>82.546</v>
      </c>
      <c r="I50" s="26"/>
      <c r="J50" s="27"/>
      <c r="K50" s="28"/>
      <c r="L50" s="28"/>
      <c r="M50" s="26"/>
      <c r="N50" s="26"/>
      <c r="O50" s="26"/>
      <c r="P50" s="26"/>
      <c r="Q50" s="92"/>
      <c r="R50" s="55"/>
      <c r="S50" s="55"/>
      <c r="T50" s="55"/>
      <c r="U50" s="55"/>
      <c r="V50" s="55"/>
      <c r="W50" s="55"/>
      <c r="X50" s="55"/>
      <c r="Y50" s="55"/>
      <c r="Z50" s="26"/>
    </row>
    <row r="51" ht="15.75" customHeight="1">
      <c r="A51" s="11" t="s">
        <v>177</v>
      </c>
      <c r="B51" s="30">
        <v>46.004</v>
      </c>
      <c r="C51" s="30">
        <v>79.199683215791</v>
      </c>
      <c r="D51" s="14">
        <v>0.6626879730752367</v>
      </c>
      <c r="E51" s="14">
        <v>4.343363765896489</v>
      </c>
      <c r="F51" s="32">
        <v>0.0</v>
      </c>
      <c r="G51" s="13">
        <v>1.94</v>
      </c>
      <c r="H51" s="30">
        <v>76.966</v>
      </c>
      <c r="J51" s="34"/>
      <c r="K51" s="35"/>
      <c r="L51" s="35"/>
    </row>
    <row r="52" ht="15.75" customHeight="1">
      <c r="A52" s="16" t="s">
        <v>178</v>
      </c>
      <c r="B52" s="17">
        <v>19.2038883925233</v>
      </c>
      <c r="C52" s="17">
        <v>55.12536380356</v>
      </c>
      <c r="D52" s="20">
        <v>1.109698266842699</v>
      </c>
      <c r="E52" s="20">
        <v>4.301237302972091</v>
      </c>
      <c r="F52" s="22">
        <v>0.0</v>
      </c>
      <c r="G52" s="25">
        <v>3.03344296601144</v>
      </c>
      <c r="H52" s="17">
        <v>73.7910391108513</v>
      </c>
      <c r="I52" s="26"/>
      <c r="J52" s="27"/>
      <c r="K52" s="28"/>
      <c r="L52" s="28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5.75" customHeight="1">
      <c r="A53" s="11" t="s">
        <v>179</v>
      </c>
      <c r="B53" s="30">
        <v>71.543</v>
      </c>
      <c r="C53" s="30">
        <v>42.4048843383789</v>
      </c>
      <c r="D53" s="14">
        <v>0.5270925962298626</v>
      </c>
      <c r="E53" s="14">
        <v>4.333440199750237</v>
      </c>
      <c r="F53" s="32">
        <v>0.0</v>
      </c>
      <c r="G53" s="13">
        <v>1.694</v>
      </c>
      <c r="H53" s="30">
        <v>76.206</v>
      </c>
      <c r="J53" s="34"/>
      <c r="K53" s="35"/>
      <c r="L53" s="35"/>
    </row>
    <row r="54" ht="15.75" customHeight="1">
      <c r="A54" s="16" t="s">
        <v>180</v>
      </c>
      <c r="B54" s="17">
        <v>54.629</v>
      </c>
      <c r="C54" s="17">
        <v>69.783805847168</v>
      </c>
      <c r="D54" s="20">
        <v>0.9932517730102834</v>
      </c>
      <c r="E54" s="20">
        <v>4.33990170837321</v>
      </c>
      <c r="F54" s="22">
        <v>0.0</v>
      </c>
      <c r="G54" s="25">
        <v>2.7</v>
      </c>
      <c r="H54" s="17">
        <v>76.7</v>
      </c>
      <c r="I54" s="26"/>
      <c r="J54" s="27"/>
      <c r="K54" s="28"/>
      <c r="L54" s="28"/>
      <c r="M54" s="26"/>
      <c r="N54" s="26"/>
      <c r="O54" s="26"/>
      <c r="P54" s="26"/>
      <c r="Q54" s="123"/>
      <c r="R54" s="26"/>
      <c r="S54" s="26"/>
      <c r="T54" s="26"/>
      <c r="U54" s="26"/>
      <c r="V54" s="26"/>
      <c r="W54" s="26"/>
      <c r="X54" s="26"/>
      <c r="Y54" s="26"/>
      <c r="Z54" s="26"/>
    </row>
    <row r="55" ht="15.75" customHeight="1">
      <c r="A55" s="11" t="s">
        <v>181</v>
      </c>
      <c r="B55" s="30">
        <v>48.489</v>
      </c>
      <c r="C55" s="30">
        <v>65.4012965440866</v>
      </c>
      <c r="D55" s="14">
        <v>0.5877866649021191</v>
      </c>
      <c r="E55" s="14">
        <v>4.366912996863833</v>
      </c>
      <c r="F55" s="32">
        <v>0.0</v>
      </c>
      <c r="G55" s="13">
        <v>1.8</v>
      </c>
      <c r="H55" s="30">
        <v>78.8</v>
      </c>
      <c r="J55" s="34"/>
      <c r="K55" s="35"/>
      <c r="L55" s="35"/>
      <c r="Q55" s="124"/>
    </row>
    <row r="56" ht="15.75" customHeight="1">
      <c r="A56" s="16" t="s">
        <v>182</v>
      </c>
      <c r="B56" s="17">
        <v>19.584</v>
      </c>
      <c r="C56" s="17">
        <v>62.5118468550703</v>
      </c>
      <c r="D56" s="20">
        <v>0.8135933336358123</v>
      </c>
      <c r="E56" s="20">
        <v>4.349025539534467</v>
      </c>
      <c r="F56" s="22">
        <v>0.0</v>
      </c>
      <c r="G56" s="25">
        <v>2.256</v>
      </c>
      <c r="H56" s="17">
        <v>77.403</v>
      </c>
      <c r="I56" s="26"/>
      <c r="J56" s="27"/>
      <c r="K56" s="28"/>
      <c r="L56" s="28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5.75" customHeight="1">
      <c r="A57" s="11" t="s">
        <v>183</v>
      </c>
      <c r="B57" s="30">
        <v>54.735</v>
      </c>
      <c r="C57" s="30">
        <v>49.5291037671807</v>
      </c>
      <c r="D57" s="14">
        <v>1.178039422299431</v>
      </c>
      <c r="E57" s="14">
        <v>4.220565968547256</v>
      </c>
      <c r="F57" s="32">
        <v>0.0</v>
      </c>
      <c r="G57" s="13">
        <v>3.248</v>
      </c>
      <c r="H57" s="30">
        <v>68.072</v>
      </c>
      <c r="J57" s="34"/>
      <c r="K57" s="35"/>
      <c r="L57" s="35"/>
    </row>
    <row r="58" ht="15.75" customHeight="1">
      <c r="A58" s="16" t="s">
        <v>184</v>
      </c>
      <c r="B58" s="17">
        <v>27.24</v>
      </c>
      <c r="C58" s="17">
        <v>66.2992968721053</v>
      </c>
      <c r="D58" s="20">
        <v>0.6941466808930288</v>
      </c>
      <c r="E58" s="20">
        <v>4.270536258640519</v>
      </c>
      <c r="F58" s="22">
        <v>1.0</v>
      </c>
      <c r="G58" s="25">
        <v>2.002</v>
      </c>
      <c r="H58" s="17">
        <v>71.56</v>
      </c>
      <c r="I58" s="26"/>
      <c r="J58" s="27"/>
      <c r="K58" s="28"/>
      <c r="L58" s="28"/>
      <c r="M58" s="26"/>
      <c r="N58" s="26"/>
      <c r="O58" s="26"/>
      <c r="P58" s="26"/>
      <c r="Q58" s="37"/>
      <c r="R58" s="38"/>
      <c r="S58" s="26"/>
      <c r="T58" s="26"/>
      <c r="U58" s="26"/>
      <c r="V58" s="26"/>
      <c r="W58" s="26"/>
      <c r="X58" s="26"/>
      <c r="Y58" s="26"/>
      <c r="Z58" s="26"/>
    </row>
    <row r="59" ht="15.75" customHeight="1">
      <c r="A59" s="11" t="s">
        <v>185</v>
      </c>
      <c r="B59" s="30">
        <v>42.206</v>
      </c>
      <c r="C59" s="30">
        <v>61.9530566607267</v>
      </c>
      <c r="D59" s="14">
        <v>0.4700036292457356</v>
      </c>
      <c r="E59" s="14">
        <v>4.340423084818807</v>
      </c>
      <c r="F59" s="32">
        <v>0.0</v>
      </c>
      <c r="G59" s="13">
        <v>1.6</v>
      </c>
      <c r="H59" s="30">
        <v>76.74</v>
      </c>
      <c r="J59" s="34"/>
      <c r="K59" s="35"/>
      <c r="L59" s="35"/>
    </row>
    <row r="60" ht="15.75" customHeight="1">
      <c r="A60" s="16" t="s">
        <v>186</v>
      </c>
      <c r="B60" s="17">
        <v>24.027</v>
      </c>
      <c r="C60" s="17">
        <v>38.3740439760816</v>
      </c>
      <c r="D60" s="20">
        <v>1.298009446252319</v>
      </c>
      <c r="E60" s="20">
        <v>4.247466141278187</v>
      </c>
      <c r="F60" s="125">
        <v>1.0</v>
      </c>
      <c r="G60" s="25">
        <v>3.662</v>
      </c>
      <c r="H60" s="17">
        <v>69.928</v>
      </c>
      <c r="I60" s="26"/>
      <c r="J60" s="27"/>
      <c r="K60" s="28"/>
      <c r="L60" s="28"/>
      <c r="M60" s="26"/>
      <c r="N60" s="26"/>
      <c r="O60" s="26"/>
      <c r="P60" s="26"/>
      <c r="Q60" s="26"/>
      <c r="R60" s="55"/>
      <c r="S60" s="26"/>
      <c r="T60" s="26"/>
      <c r="U60" s="26"/>
      <c r="V60" s="26"/>
      <c r="W60" s="26"/>
      <c r="X60" s="26"/>
      <c r="Y60" s="26"/>
      <c r="Z60" s="26"/>
    </row>
    <row r="61" ht="15.75" customHeight="1">
      <c r="A61" s="11" t="s">
        <v>187</v>
      </c>
      <c r="B61" s="30">
        <v>58.986</v>
      </c>
      <c r="C61" s="30">
        <v>68.6396537819458</v>
      </c>
      <c r="D61" s="14">
        <v>0.8936360413093488</v>
      </c>
      <c r="E61" s="14">
        <v>4.322992934170755</v>
      </c>
      <c r="F61" s="32">
        <v>0.0</v>
      </c>
      <c r="G61" s="13">
        <v>2.444</v>
      </c>
      <c r="H61" s="30">
        <v>75.414</v>
      </c>
      <c r="J61" s="34"/>
      <c r="K61" s="35"/>
      <c r="L61" s="35"/>
    </row>
    <row r="62" ht="15.75" customHeight="1">
      <c r="A62" s="16" t="s">
        <v>188</v>
      </c>
      <c r="B62" s="17">
        <v>66.725</v>
      </c>
      <c r="C62" s="17">
        <v>84.3663554951194</v>
      </c>
      <c r="D62" s="20">
        <v>0.6951451832226183</v>
      </c>
      <c r="E62" s="20">
        <v>4.365973469351633</v>
      </c>
      <c r="F62" s="22">
        <v>0.0</v>
      </c>
      <c r="G62" s="25">
        <v>2.004</v>
      </c>
      <c r="H62" s="17">
        <v>78.726</v>
      </c>
      <c r="I62" s="26"/>
      <c r="J62" s="27"/>
      <c r="K62" s="28"/>
      <c r="L62" s="28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5.75" customHeight="1">
      <c r="A63" s="11" t="s">
        <v>189</v>
      </c>
      <c r="B63" s="30">
        <v>50.38</v>
      </c>
      <c r="C63" s="30">
        <v>54.7902343568327</v>
      </c>
      <c r="D63" s="14">
        <v>0.6570017339235921</v>
      </c>
      <c r="E63" s="14">
        <v>4.282841456752543</v>
      </c>
      <c r="F63" s="32">
        <v>0.0</v>
      </c>
      <c r="G63" s="13">
        <v>1.929</v>
      </c>
      <c r="H63" s="30">
        <v>72.446</v>
      </c>
      <c r="J63" s="34"/>
      <c r="K63" s="35"/>
      <c r="L63" s="35"/>
      <c r="Q63" s="76"/>
      <c r="R63" s="77"/>
    </row>
    <row r="64" ht="15.75" customHeight="1">
      <c r="A64" s="16" t="s">
        <v>190</v>
      </c>
      <c r="B64" s="17">
        <v>54.695</v>
      </c>
      <c r="C64" s="17">
        <v>27.7806702737761</v>
      </c>
      <c r="D64" s="20">
        <v>1.329194769079318</v>
      </c>
      <c r="E64" s="20">
        <v>4.243123698247448</v>
      </c>
      <c r="F64" s="22">
        <v>0.0</v>
      </c>
      <c r="G64" s="25">
        <v>3.778</v>
      </c>
      <c r="H64" s="17">
        <v>69.625</v>
      </c>
      <c r="I64" s="26"/>
      <c r="J64" s="27"/>
      <c r="K64" s="28"/>
      <c r="L64" s="28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5.75" customHeight="1">
      <c r="A65" s="11" t="s">
        <v>191</v>
      </c>
      <c r="B65" s="30">
        <v>37.706</v>
      </c>
      <c r="C65" s="30">
        <v>53.4435061024348</v>
      </c>
      <c r="D65" s="14">
        <v>1.351702916350272</v>
      </c>
      <c r="E65" s="14">
        <v>4.246793795409602</v>
      </c>
      <c r="F65" s="32">
        <v>0.0</v>
      </c>
      <c r="G65" s="13">
        <v>3.864</v>
      </c>
      <c r="H65" s="30">
        <v>69.881</v>
      </c>
      <c r="J65" s="34"/>
      <c r="K65" s="35"/>
      <c r="L65" s="35"/>
    </row>
    <row r="66" ht="15.75" customHeight="1">
      <c r="A66" s="16" t="s">
        <v>192</v>
      </c>
      <c r="B66" s="17">
        <v>50.142</v>
      </c>
      <c r="C66" s="17">
        <v>61.9013813540396</v>
      </c>
      <c r="D66" s="20">
        <v>0.4637340162321402</v>
      </c>
      <c r="E66" s="20">
        <v>4.355425952876702</v>
      </c>
      <c r="F66" s="22">
        <v>0.0</v>
      </c>
      <c r="G66" s="25">
        <v>1.59</v>
      </c>
      <c r="H66" s="17">
        <v>77.9</v>
      </c>
      <c r="I66" s="26"/>
      <c r="J66" s="27"/>
      <c r="K66" s="28"/>
      <c r="L66" s="28"/>
      <c r="M66" s="26"/>
      <c r="N66" s="26"/>
      <c r="O66" s="26"/>
      <c r="P66" s="26"/>
      <c r="Q66" s="38"/>
      <c r="R66" s="37"/>
      <c r="S66" s="37"/>
      <c r="T66" s="37"/>
      <c r="U66" s="37"/>
      <c r="V66" s="37"/>
      <c r="W66" s="26"/>
      <c r="X66" s="26"/>
      <c r="Y66" s="26"/>
      <c r="Z66" s="26"/>
    </row>
    <row r="67" ht="15.75" customHeight="1">
      <c r="A67" s="11" t="s">
        <v>193</v>
      </c>
      <c r="B67" s="30">
        <v>47.118</v>
      </c>
      <c r="C67" s="30">
        <v>63.4766699210327</v>
      </c>
      <c r="D67" s="14">
        <v>0.8006553882752305</v>
      </c>
      <c r="E67" s="14">
        <v>4.234642592760377</v>
      </c>
      <c r="F67" s="32">
        <v>0.0</v>
      </c>
      <c r="G67" s="13">
        <v>2.227</v>
      </c>
      <c r="H67" s="30">
        <v>69.037</v>
      </c>
      <c r="J67" s="34"/>
      <c r="K67" s="35"/>
      <c r="L67" s="35"/>
    </row>
    <row r="68" ht="15.75" customHeight="1">
      <c r="A68" s="16" t="s">
        <v>194</v>
      </c>
      <c r="B68" s="17">
        <v>30.8503437167079</v>
      </c>
      <c r="C68" s="17">
        <v>34.8137520955194</v>
      </c>
      <c r="D68" s="20">
        <v>0.7001286101184606</v>
      </c>
      <c r="E68" s="20">
        <v>4.299203214908003</v>
      </c>
      <c r="F68" s="22">
        <v>0.0</v>
      </c>
      <c r="G68" s="25">
        <v>2.01401171309975</v>
      </c>
      <c r="H68" s="17">
        <v>73.6410941912448</v>
      </c>
      <c r="I68" s="26"/>
      <c r="J68" s="27"/>
      <c r="K68" s="28"/>
      <c r="L68" s="28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5.75" customHeight="1">
      <c r="A69" s="11" t="s">
        <v>195</v>
      </c>
      <c r="B69" s="30">
        <v>31.605</v>
      </c>
      <c r="C69" s="30">
        <v>19.9877933196367</v>
      </c>
      <c r="D69" s="14">
        <v>0.6851150088626811</v>
      </c>
      <c r="E69" s="14">
        <v>4.387648303441935</v>
      </c>
      <c r="F69" s="32">
        <v>1.0</v>
      </c>
      <c r="G69" s="13">
        <v>1.984</v>
      </c>
      <c r="H69" s="30">
        <v>80.451</v>
      </c>
      <c r="J69" s="34"/>
      <c r="K69" s="35"/>
      <c r="L69" s="35"/>
      <c r="Q69" s="76"/>
      <c r="R69" s="77"/>
      <c r="S69" s="77"/>
    </row>
    <row r="70" ht="15.75" customHeight="1">
      <c r="A70" s="16" t="s">
        <v>196</v>
      </c>
      <c r="B70" s="17">
        <v>62.68</v>
      </c>
      <c r="C70" s="17">
        <v>29.097678526676</v>
      </c>
      <c r="D70" s="20">
        <v>0.3271431413326946</v>
      </c>
      <c r="E70" s="20">
        <v>4.334725361555869</v>
      </c>
      <c r="F70" s="22">
        <v>0.0</v>
      </c>
      <c r="G70" s="25">
        <v>1.387</v>
      </c>
      <c r="H70" s="17">
        <v>76.304</v>
      </c>
      <c r="I70" s="26"/>
      <c r="J70" s="27"/>
      <c r="K70" s="28"/>
      <c r="L70" s="28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5.75" customHeight="1">
      <c r="A71" s="11" t="s">
        <v>197</v>
      </c>
      <c r="B71" s="30">
        <v>62.1326606535539</v>
      </c>
      <c r="C71" s="30">
        <v>43.1554770877868</v>
      </c>
      <c r="D71" s="14">
        <v>1.480812910816587</v>
      </c>
      <c r="E71" s="14">
        <v>4.15875875870275</v>
      </c>
      <c r="F71" s="32">
        <v>0.0</v>
      </c>
      <c r="G71" s="13">
        <v>4.3965182058548</v>
      </c>
      <c r="H71" s="30">
        <v>63.99204371654834</v>
      </c>
      <c r="J71" s="34"/>
      <c r="K71" s="35"/>
      <c r="L71" s="35"/>
      <c r="Q71" s="83"/>
      <c r="R71" s="84"/>
      <c r="S71" s="84"/>
      <c r="T71" s="84"/>
      <c r="U71" s="84"/>
      <c r="V71" s="84"/>
      <c r="W71" s="84"/>
      <c r="X71" s="84"/>
      <c r="Y71" s="84"/>
    </row>
    <row r="72" ht="15.75" customHeight="1">
      <c r="A72" s="16" t="s">
        <v>198</v>
      </c>
      <c r="B72" s="17">
        <v>62.6144798335407</v>
      </c>
      <c r="C72" s="17">
        <v>45.4749158289618</v>
      </c>
      <c r="D72" s="20">
        <v>1.489187327082645</v>
      </c>
      <c r="E72" s="20">
        <v>4.147523733536159</v>
      </c>
      <c r="F72" s="22">
        <v>0.0</v>
      </c>
      <c r="G72" s="25">
        <v>4.43349107645845</v>
      </c>
      <c r="H72" s="17">
        <v>63.27711513541833</v>
      </c>
      <c r="I72" s="26"/>
      <c r="J72" s="27"/>
      <c r="K72" s="28"/>
      <c r="L72" s="28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5.75" customHeight="1">
      <c r="A73" s="11" t="s">
        <v>199</v>
      </c>
      <c r="B73" s="30">
        <v>43.957</v>
      </c>
      <c r="C73" s="30">
        <v>65.8985443115234</v>
      </c>
      <c r="D73" s="14">
        <v>0.8215403953283443</v>
      </c>
      <c r="E73" s="14">
        <v>4.33729074083249</v>
      </c>
      <c r="F73" s="32">
        <v>0.0</v>
      </c>
      <c r="G73" s="13">
        <v>2.274</v>
      </c>
      <c r="H73" s="30">
        <v>76.5</v>
      </c>
      <c r="J73" s="34"/>
      <c r="K73" s="35"/>
      <c r="L73" s="35"/>
    </row>
    <row r="74" ht="15.75" customHeight="1">
      <c r="A74" s="16" t="s">
        <v>200</v>
      </c>
      <c r="B74" s="17">
        <v>13.02</v>
      </c>
      <c r="C74" s="17">
        <v>72.6124992370605</v>
      </c>
      <c r="D74" s="20">
        <v>1.010145307345779</v>
      </c>
      <c r="E74" s="20">
        <v>4.320204421030539</v>
      </c>
      <c r="F74" s="22">
        <v>0.0</v>
      </c>
      <c r="G74" s="25">
        <v>2.746</v>
      </c>
      <c r="H74" s="17">
        <v>75.204</v>
      </c>
      <c r="I74" s="26"/>
      <c r="J74" s="27"/>
      <c r="K74" s="28"/>
      <c r="L74" s="28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5.75" customHeight="1">
      <c r="A75" s="11" t="s">
        <v>201</v>
      </c>
      <c r="B75" s="30">
        <v>21.395</v>
      </c>
      <c r="C75" s="30">
        <v>26.1957126615618</v>
      </c>
      <c r="D75" s="14">
        <v>1.140074078475704</v>
      </c>
      <c r="E75" s="14">
        <v>4.30103347546435</v>
      </c>
      <c r="F75" s="32">
        <v>0.0</v>
      </c>
      <c r="G75" s="13">
        <v>3.127</v>
      </c>
      <c r="H75" s="30">
        <v>73.776</v>
      </c>
      <c r="J75" s="34"/>
      <c r="K75" s="35"/>
      <c r="L75" s="35"/>
      <c r="Q75" s="76"/>
      <c r="R75" s="77"/>
      <c r="S75" s="77"/>
      <c r="T75" s="77"/>
      <c r="U75" s="77"/>
      <c r="V75" s="77"/>
      <c r="W75" s="77"/>
      <c r="X75" s="77"/>
      <c r="Y75" s="77"/>
    </row>
    <row r="76" ht="15.75" customHeight="1">
      <c r="A76" s="16" t="s">
        <v>202</v>
      </c>
      <c r="B76" s="17">
        <v>59.576</v>
      </c>
      <c r="C76" s="17">
        <v>59.742374420166</v>
      </c>
      <c r="D76" s="20">
        <v>0.1996701951285677</v>
      </c>
      <c r="E76" s="20">
        <v>4.379398183320189</v>
      </c>
      <c r="F76" s="22">
        <v>0.0</v>
      </c>
      <c r="G76" s="25">
        <v>1.221</v>
      </c>
      <c r="H76" s="17">
        <v>79.79</v>
      </c>
      <c r="I76" s="26"/>
      <c r="J76" s="27"/>
      <c r="K76" s="28"/>
      <c r="L76" s="28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5.75" customHeight="1">
      <c r="A77" s="11" t="s">
        <v>203</v>
      </c>
      <c r="B77" s="30">
        <v>42.617</v>
      </c>
      <c r="C77" s="30">
        <v>21.147219451842</v>
      </c>
      <c r="D77" s="14">
        <v>1.15404699555621</v>
      </c>
      <c r="E77" s="14">
        <v>4.333046452452163</v>
      </c>
      <c r="F77" s="32">
        <v>0.0</v>
      </c>
      <c r="G77" s="13">
        <v>3.171</v>
      </c>
      <c r="H77" s="30">
        <v>76.176</v>
      </c>
      <c r="J77" s="34"/>
      <c r="K77" s="35"/>
      <c r="L77" s="35"/>
    </row>
    <row r="78" ht="15.75" customHeight="1">
      <c r="A78" s="16" t="s">
        <v>204</v>
      </c>
      <c r="B78" s="17">
        <v>35.018</v>
      </c>
      <c r="C78" s="17">
        <v>89.0381164550781</v>
      </c>
      <c r="D78" s="20">
        <v>0.4885800148186709</v>
      </c>
      <c r="E78" s="20">
        <v>4.390973987465147</v>
      </c>
      <c r="F78" s="22">
        <v>0.0</v>
      </c>
      <c r="G78" s="25">
        <v>1.63</v>
      </c>
      <c r="H78" s="17">
        <v>80.719</v>
      </c>
      <c r="I78" s="26"/>
      <c r="J78" s="27"/>
      <c r="K78" s="28"/>
      <c r="L78" s="28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5.75" customHeight="1">
      <c r="A79" s="11" t="s">
        <v>205</v>
      </c>
      <c r="B79" s="30">
        <v>38.385</v>
      </c>
      <c r="C79" s="30">
        <v>47.0592103414926</v>
      </c>
      <c r="D79" s="14">
        <v>1.003568739981216</v>
      </c>
      <c r="E79" s="14">
        <v>4.286093761035986</v>
      </c>
      <c r="F79" s="32">
        <v>0.0</v>
      </c>
      <c r="G79" s="13">
        <v>2.728</v>
      </c>
      <c r="H79" s="30">
        <v>72.682</v>
      </c>
      <c r="J79" s="34"/>
      <c r="K79" s="35"/>
      <c r="L79" s="35"/>
      <c r="Q79" s="93"/>
    </row>
    <row r="80" ht="15.75" customHeight="1">
      <c r="A80" s="16" t="s">
        <v>206</v>
      </c>
      <c r="B80" s="17">
        <v>41.1</v>
      </c>
      <c r="C80" s="17">
        <v>50.9847412109375</v>
      </c>
      <c r="D80" s="20">
        <v>1.222598268449101</v>
      </c>
      <c r="E80" s="20">
        <v>4.322090838062883</v>
      </c>
      <c r="F80" s="22">
        <v>0.0</v>
      </c>
      <c r="G80" s="25">
        <v>3.396</v>
      </c>
      <c r="H80" s="17">
        <v>75.346</v>
      </c>
      <c r="I80" s="26"/>
      <c r="J80" s="27"/>
      <c r="K80" s="28"/>
      <c r="L80" s="28"/>
      <c r="M80" s="26"/>
      <c r="N80" s="26"/>
      <c r="O80" s="26"/>
      <c r="P80" s="26"/>
      <c r="Q80" s="100"/>
      <c r="R80" s="26"/>
      <c r="S80" s="26"/>
      <c r="T80" s="26"/>
      <c r="U80" s="26"/>
      <c r="V80" s="26"/>
      <c r="W80" s="26"/>
      <c r="X80" s="26"/>
      <c r="Y80" s="26"/>
      <c r="Z80" s="26"/>
    </row>
    <row r="81" ht="15.75" customHeight="1">
      <c r="A81" s="11" t="s">
        <v>207</v>
      </c>
      <c r="B81" s="30">
        <v>53.631</v>
      </c>
      <c r="C81" s="30">
        <v>22.2541249733107</v>
      </c>
      <c r="D81" s="14">
        <v>1.293904911826543</v>
      </c>
      <c r="E81" s="14">
        <v>4.300830136640167</v>
      </c>
      <c r="F81" s="32">
        <v>0.0</v>
      </c>
      <c r="G81" s="13">
        <v>3.647</v>
      </c>
      <c r="H81" s="30">
        <v>73.761</v>
      </c>
      <c r="J81" s="34"/>
      <c r="K81" s="35"/>
      <c r="L81" s="35"/>
    </row>
    <row r="82" ht="15.75" customHeight="1">
      <c r="A82" s="16" t="s">
        <v>208</v>
      </c>
      <c r="B82" s="17">
        <v>69.878</v>
      </c>
      <c r="C82" s="17">
        <v>37.5478515625</v>
      </c>
      <c r="D82" s="20">
        <v>0.6559643894322293</v>
      </c>
      <c r="E82" s="20">
        <v>4.3721151780651</v>
      </c>
      <c r="F82" s="22">
        <v>0.0</v>
      </c>
      <c r="G82" s="25">
        <v>1.927</v>
      </c>
      <c r="H82" s="17">
        <v>79.211</v>
      </c>
      <c r="I82" s="26"/>
      <c r="J82" s="27"/>
      <c r="K82" s="28"/>
      <c r="L82" s="28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5.75" customHeight="1">
      <c r="A83" s="11" t="s">
        <v>209</v>
      </c>
      <c r="B83" s="30">
        <v>18.934</v>
      </c>
      <c r="C83" s="30">
        <v>86.5961423216016</v>
      </c>
      <c r="D83" s="14">
        <v>1.216395324324493</v>
      </c>
      <c r="E83" s="14">
        <v>4.371268978020922</v>
      </c>
      <c r="F83" s="32">
        <v>0.0</v>
      </c>
      <c r="G83" s="13">
        <v>3.375</v>
      </c>
      <c r="H83" s="30">
        <v>79.144</v>
      </c>
      <c r="J83" s="34"/>
      <c r="K83" s="35"/>
      <c r="L83" s="35"/>
      <c r="Q83" s="84"/>
      <c r="R83" s="83"/>
    </row>
    <row r="84" ht="15.75" customHeight="1"/>
    <row r="85" ht="15.75" customHeight="1">
      <c r="R85" s="77"/>
    </row>
    <row r="86" ht="15.75" customHeight="1"/>
    <row r="87" ht="15.75" customHeight="1"/>
    <row r="88" ht="15.75" customHeight="1">
      <c r="Q88" s="76"/>
      <c r="R88" s="77"/>
    </row>
    <row r="89" ht="15.75" customHeight="1">
      <c r="B89" s="84"/>
      <c r="C89" s="83"/>
    </row>
    <row r="90" ht="15.75" customHeight="1"/>
    <row r="91" ht="15.75" customHeight="1">
      <c r="Q91" s="83"/>
      <c r="R91" s="84"/>
      <c r="S91" s="84"/>
      <c r="T91" s="84"/>
      <c r="U91" s="84"/>
      <c r="V91" s="84"/>
    </row>
    <row r="92" ht="15.75" customHeight="1"/>
    <row r="93" ht="15.75" customHeight="1"/>
    <row r="94" ht="15.75" customHeight="1">
      <c r="B94" s="76"/>
      <c r="C94" s="77"/>
      <c r="Q94" s="76"/>
      <c r="R94" s="77"/>
      <c r="S94" s="77"/>
    </row>
    <row r="95" ht="15.75" customHeight="1"/>
    <row r="96" ht="15.75" customHeight="1">
      <c r="Q96" s="83"/>
      <c r="R96" s="84"/>
      <c r="S96" s="84"/>
      <c r="T96" s="84"/>
      <c r="U96" s="84"/>
      <c r="V96" s="84"/>
      <c r="W96" s="84"/>
      <c r="X96" s="84"/>
      <c r="Y96" s="84"/>
    </row>
    <row r="97" ht="15.75" customHeight="1">
      <c r="B97" s="83"/>
      <c r="C97" s="84"/>
      <c r="D97" s="84"/>
      <c r="E97" s="84"/>
      <c r="F97" s="84"/>
      <c r="G97" s="84"/>
    </row>
    <row r="98" ht="15.75" customHeight="1"/>
    <row r="99" ht="15.75" customHeight="1"/>
    <row r="100" ht="15.75" customHeight="1">
      <c r="B100" s="76"/>
      <c r="C100" s="77"/>
      <c r="D100" s="77"/>
      <c r="Q100" s="76"/>
      <c r="R100" s="77"/>
      <c r="S100" s="77"/>
      <c r="T100" s="77"/>
      <c r="U100" s="77"/>
      <c r="V100" s="77"/>
      <c r="W100" s="77"/>
      <c r="X100" s="77"/>
      <c r="Y100" s="77"/>
    </row>
    <row r="101" ht="15.75" customHeight="1"/>
    <row r="102" ht="15.75" customHeight="1">
      <c r="B102" s="83"/>
      <c r="C102" s="84"/>
      <c r="D102" s="84"/>
      <c r="E102" s="84"/>
      <c r="F102" s="84"/>
      <c r="G102" s="84"/>
      <c r="H102" s="84"/>
      <c r="I102" s="84"/>
      <c r="J102" s="84"/>
    </row>
    <row r="103" ht="15.75" customHeight="1"/>
    <row r="104" ht="15.75" customHeight="1">
      <c r="Q104" s="93"/>
    </row>
    <row r="105" ht="15.75" customHeight="1">
      <c r="Q105" s="124"/>
    </row>
    <row r="106" ht="15.75" customHeight="1"/>
    <row r="107" ht="15.75" customHeight="1">
      <c r="B107" s="76"/>
      <c r="C107" s="77"/>
      <c r="D107" s="77"/>
      <c r="E107" s="77"/>
      <c r="F107" s="77"/>
      <c r="G107" s="77"/>
      <c r="H107" s="77"/>
      <c r="I107" s="77"/>
      <c r="J107" s="77"/>
    </row>
    <row r="108" ht="15.75" customHeight="1">
      <c r="Q108" s="84"/>
      <c r="R108" s="83"/>
    </row>
    <row r="109" ht="15.75" customHeight="1"/>
    <row r="110" ht="15.75" customHeight="1">
      <c r="R110" s="77"/>
    </row>
    <row r="111" ht="15.75" customHeight="1"/>
    <row r="112" ht="15.75" customHeight="1"/>
    <row r="113" ht="15.75" customHeight="1">
      <c r="B113" s="84"/>
      <c r="C113" s="84"/>
      <c r="D113" s="84"/>
      <c r="Q113" s="76"/>
      <c r="R113" s="77"/>
    </row>
    <row r="114" ht="15.75" customHeight="1"/>
    <row r="115" ht="15.75" customHeight="1"/>
    <row r="116" ht="15.75" customHeight="1">
      <c r="Q116" s="83"/>
      <c r="R116" s="84"/>
      <c r="S116" s="84"/>
      <c r="T116" s="84"/>
      <c r="U116" s="84"/>
      <c r="V116" s="84"/>
    </row>
    <row r="117" ht="15.75" customHeight="1"/>
    <row r="118" ht="15.75" customHeight="1"/>
    <row r="119" ht="15.75" customHeight="1">
      <c r="Q119" s="76"/>
      <c r="R119" s="77"/>
      <c r="S119" s="77"/>
    </row>
    <row r="120" ht="15.75" customHeight="1"/>
    <row r="121" ht="15.75" customHeight="1">
      <c r="Q121" s="83"/>
      <c r="R121" s="84"/>
      <c r="S121" s="84"/>
      <c r="T121" s="84"/>
      <c r="U121" s="84"/>
      <c r="V121" s="84"/>
      <c r="W121" s="84"/>
      <c r="X121" s="84"/>
      <c r="Y121" s="84"/>
    </row>
    <row r="122" ht="15.75" customHeight="1"/>
    <row r="123" ht="15.75" customHeight="1"/>
    <row r="124" ht="15.75" customHeight="1"/>
    <row r="125" ht="15.75" customHeight="1">
      <c r="Q125" s="76"/>
      <c r="R125" s="77"/>
      <c r="S125" s="77"/>
      <c r="T125" s="77"/>
      <c r="U125" s="77"/>
      <c r="V125" s="77"/>
      <c r="W125" s="77"/>
      <c r="X125" s="77"/>
      <c r="Y125" s="77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>
      <c r="B193" s="77"/>
      <c r="C193" s="77"/>
      <c r="D193" s="77"/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>
      <c r="A200" s="84"/>
      <c r="B200" s="83"/>
    </row>
    <row r="201" ht="15.75" customHeight="1"/>
    <row r="202" ht="15.75" customHeight="1"/>
    <row r="203" ht="15.75" customHeight="1"/>
    <row r="204" ht="15.75" customHeight="1"/>
    <row r="205" ht="15.75" customHeight="1">
      <c r="A205" s="76"/>
      <c r="B205" s="77"/>
    </row>
    <row r="206" ht="15.75" customHeight="1"/>
    <row r="207" ht="15.75" customHeight="1"/>
    <row r="208" ht="15.75" customHeight="1">
      <c r="A208" s="83"/>
      <c r="B208" s="84"/>
      <c r="C208" s="84"/>
      <c r="D208" s="84"/>
      <c r="E208" s="84"/>
      <c r="F208" s="84"/>
    </row>
    <row r="209" ht="15.75" customHeight="1"/>
    <row r="210" ht="15.75" customHeight="1"/>
    <row r="211" ht="15.75" customHeight="1">
      <c r="A211" s="76"/>
      <c r="B211" s="77"/>
      <c r="C211" s="77"/>
    </row>
    <row r="212" ht="15.75" customHeight="1"/>
    <row r="213" ht="15.75" customHeight="1">
      <c r="A213" s="83"/>
      <c r="B213" s="84"/>
      <c r="C213" s="84"/>
      <c r="D213" s="84"/>
      <c r="E213" s="84"/>
      <c r="F213" s="84"/>
      <c r="G213" s="84"/>
      <c r="H213" s="84"/>
      <c r="I213" s="84"/>
    </row>
    <row r="214" ht="15.75" customHeight="1"/>
    <row r="215" ht="15.75" customHeight="1"/>
    <row r="216" ht="15.75" customHeight="1"/>
    <row r="217" ht="15.75" customHeight="1"/>
    <row r="218" ht="15.75" customHeight="1">
      <c r="A218" s="76"/>
      <c r="B218" s="77"/>
      <c r="C218" s="77"/>
      <c r="D218" s="77"/>
      <c r="E218" s="77"/>
      <c r="F218" s="77"/>
      <c r="G218" s="77"/>
      <c r="H218" s="77"/>
      <c r="I218" s="77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>
      <c r="A224" s="84"/>
      <c r="B224" s="84"/>
      <c r="C224" s="84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>
      <c r="A304" s="77"/>
      <c r="B304" s="77"/>
      <c r="C304" s="77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H1"/>
  </mergeCells>
  <dataValidations>
    <dataValidation type="custom" allowBlank="1" showDropDown="1" sqref="B4:H83">
      <formula1>AND(ISNUMBER(B4),(NOT(OR(NOT(ISERROR(DATEVALUE(B4))), AND(ISNUMBER(B4), LEFT(CELL("format", B4))="D")))))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6.0"/>
    <col customWidth="1" min="3" max="3" width="15.29"/>
    <col customWidth="1" min="4" max="4" width="17.86"/>
    <col customWidth="1" min="5" max="5" width="13.57"/>
    <col customWidth="1" min="6" max="6" width="14.14"/>
    <col customWidth="1" min="7" max="7" width="17.29"/>
    <col customWidth="1" min="8" max="9" width="23.14"/>
    <col customWidth="1" min="10" max="26" width="8.71"/>
  </cols>
  <sheetData>
    <row r="1">
      <c r="A1" s="1" t="s">
        <v>2</v>
      </c>
    </row>
    <row r="2">
      <c r="A2" s="7"/>
      <c r="B2" s="7"/>
      <c r="C2" s="7"/>
      <c r="D2" s="7"/>
      <c r="E2" s="7"/>
      <c r="F2" s="7"/>
      <c r="G2" s="7"/>
      <c r="H2" s="7"/>
      <c r="I2" s="7"/>
    </row>
    <row r="3" ht="22.5" customHeight="1">
      <c r="A3" s="10" t="s">
        <v>4</v>
      </c>
      <c r="B3" s="10" t="s">
        <v>9</v>
      </c>
      <c r="C3" s="10" t="s">
        <v>11</v>
      </c>
      <c r="D3" s="10" t="s">
        <v>15</v>
      </c>
      <c r="E3" s="10" t="s">
        <v>18</v>
      </c>
      <c r="F3" s="10" t="s">
        <v>22</v>
      </c>
      <c r="G3" s="10" t="s">
        <v>25</v>
      </c>
      <c r="H3" s="10" t="s">
        <v>26</v>
      </c>
    </row>
    <row r="4" ht="22.5" customHeight="1">
      <c r="A4" s="12" t="s">
        <v>8</v>
      </c>
      <c r="B4" s="15">
        <v>80.0</v>
      </c>
      <c r="C4" s="23">
        <f>AVERAGE(Dataset!B4:B83)</f>
        <v>48.2924788</v>
      </c>
      <c r="D4" s="23">
        <f>STDEV(Dataset!B4:B83)</f>
        <v>14.75400316</v>
      </c>
      <c r="E4" s="23">
        <f>MIN(Dataset!B4:B83)</f>
        <v>13.02</v>
      </c>
      <c r="F4" s="23">
        <f>MAX(Dataset!B4:B83)</f>
        <v>77.173</v>
      </c>
      <c r="G4" s="23">
        <f>MEDIAN(Dataset!B4:B83)</f>
        <v>51.17666825</v>
      </c>
      <c r="H4" s="15" t="s">
        <v>38</v>
      </c>
    </row>
    <row r="5" ht="22.5" customHeight="1">
      <c r="A5" s="31" t="s">
        <v>21</v>
      </c>
      <c r="B5" s="33">
        <v>80.0</v>
      </c>
      <c r="C5" s="36">
        <f>AVERAGE(Dataset!C4:C83)</f>
        <v>56.2441997</v>
      </c>
      <c r="D5" s="36">
        <f>STDEV(Dataset!C4:C83)</f>
        <v>19.06508967</v>
      </c>
      <c r="E5" s="36">
        <f>MIN(Dataset!C4:C83)</f>
        <v>16.7146032</v>
      </c>
      <c r="F5" s="36">
        <f>MAX(Dataset!C4:C83)</f>
        <v>92.40483791</v>
      </c>
      <c r="G5" s="36">
        <f>MEDIAN(Dataset!C4:C83)</f>
        <v>57.92616919</v>
      </c>
      <c r="H5" s="33" t="s">
        <v>40</v>
      </c>
    </row>
    <row r="6" ht="22.5" customHeight="1">
      <c r="A6" s="12" t="s">
        <v>41</v>
      </c>
      <c r="B6" s="15">
        <v>80.0</v>
      </c>
      <c r="C6" s="23">
        <f>AVERAGE(Dataset!G4:G83)</f>
        <v>2.453438516</v>
      </c>
      <c r="D6" s="23">
        <f>STDEV(Dataset!G4:G83)</f>
        <v>0.9351027261</v>
      </c>
      <c r="E6" s="23">
        <f>MIN(Dataset!G4:G83)</f>
        <v>1.221</v>
      </c>
      <c r="F6" s="23">
        <f>MAX(Dataset!G4:G83)</f>
        <v>4.634</v>
      </c>
      <c r="G6" s="23">
        <f>MEDIAN(Dataset!G4:G83)</f>
        <v>2.203</v>
      </c>
      <c r="H6" s="15" t="s">
        <v>44</v>
      </c>
    </row>
    <row r="7" ht="22.5" customHeight="1">
      <c r="A7" s="31" t="s">
        <v>32</v>
      </c>
      <c r="B7" s="33">
        <v>80.0</v>
      </c>
      <c r="C7" s="36">
        <f>AVERAGE(Dataset!D4:D83)</f>
        <v>0.8306472689</v>
      </c>
      <c r="D7" s="36">
        <f>STDEV(Dataset!D4:D83)</f>
        <v>0.3629622287</v>
      </c>
      <c r="E7" s="36">
        <f>MIN(Dataset!D4:D83)</f>
        <v>0.1996701951</v>
      </c>
      <c r="F7" s="36">
        <f>MAX(Dataset!D4:D83)</f>
        <v>1.533420426</v>
      </c>
      <c r="G7" s="36">
        <f>MEDIAN(Dataset!D4:D83)</f>
        <v>0.7897607221</v>
      </c>
      <c r="H7" s="33" t="s">
        <v>40</v>
      </c>
    </row>
    <row r="8" ht="22.5" customHeight="1">
      <c r="A8" s="12" t="s">
        <v>61</v>
      </c>
      <c r="B8" s="15">
        <v>80.0</v>
      </c>
      <c r="C8" s="23">
        <f>AVERAGE(Dataset!H4:H83)</f>
        <v>74.52230152</v>
      </c>
      <c r="D8" s="23">
        <f>STDEV(Dataset!H4:H83)</f>
        <v>5.073141469</v>
      </c>
      <c r="E8" s="23">
        <f>MIN(Dataset!H4:H83)</f>
        <v>61.75</v>
      </c>
      <c r="F8" s="23">
        <f>MAX(Dataset!H4:H83)</f>
        <v>82.546</v>
      </c>
      <c r="G8" s="23">
        <f>MEDIAN(Dataset!H4:H83)</f>
        <v>76.17</v>
      </c>
      <c r="H8" s="15" t="s">
        <v>44</v>
      </c>
    </row>
    <row r="9" ht="22.5" customHeight="1">
      <c r="A9" s="31" t="s">
        <v>34</v>
      </c>
      <c r="B9" s="33">
        <v>80.0</v>
      </c>
      <c r="C9" s="36">
        <f>AVERAGE(Dataset!E4:E83)</f>
        <v>4.308706131</v>
      </c>
      <c r="D9" s="36">
        <f>STDEV(Dataset!E4:E83)</f>
        <v>0.07040272322</v>
      </c>
      <c r="E9" s="36">
        <f>MIN(Dataset!E4:E83)</f>
        <v>4.123093976</v>
      </c>
      <c r="F9" s="36">
        <f>MAX(Dataset!E4:E83)</f>
        <v>4.413355714</v>
      </c>
      <c r="G9" s="36">
        <f>MEDIAN(Dataset!E4:E83)</f>
        <v>4.332967681</v>
      </c>
      <c r="H9" s="33" t="s">
        <v>40</v>
      </c>
    </row>
    <row r="10" ht="22.5" customHeight="1">
      <c r="A10" s="12" t="s">
        <v>24</v>
      </c>
      <c r="B10" s="15">
        <v>80.0</v>
      </c>
      <c r="C10" s="23">
        <f>AVERAGE(Dataset!F4:F83)</f>
        <v>0.0875</v>
      </c>
      <c r="D10" s="23">
        <f>STDEV(Dataset!F4:F83)</f>
        <v>0.2843491347</v>
      </c>
      <c r="E10" s="23">
        <f>MIN(Dataset!F4:F83)</f>
        <v>0</v>
      </c>
      <c r="F10" s="23">
        <f>MAX(Dataset!F4:F83)</f>
        <v>1</v>
      </c>
      <c r="G10" s="23">
        <f>MEDIAN(Dataset!F4:F83)</f>
        <v>0</v>
      </c>
      <c r="H10" s="15" t="s">
        <v>81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I1"/>
  </mergeCells>
  <dataValidations>
    <dataValidation type="custom" allowBlank="1" showDropDown="1" sqref="C4:G10">
      <formula1>AND(ISNUMBER(C4),(NOT(OR(NOT(ISERROR(DATEVALUE(C4))), AND(ISNUMBER(C4), LEFT(CELL("format", C4))="D")))))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9.86"/>
    <col customWidth="1" min="3" max="3" width="18.29"/>
    <col customWidth="1" min="4" max="4" width="17.43"/>
    <col customWidth="1" min="5" max="5" width="17.57"/>
    <col customWidth="1" min="6" max="7" width="16.29"/>
    <col customWidth="1" min="8" max="8" width="14.0"/>
    <col customWidth="1" min="9" max="9" width="17.14"/>
    <col customWidth="1" min="10" max="26" width="8.71"/>
  </cols>
  <sheetData>
    <row r="1">
      <c r="A1" s="1" t="s">
        <v>3</v>
      </c>
    </row>
    <row r="2" ht="30.0" customHeight="1">
      <c r="A2" s="4"/>
      <c r="B2" s="4"/>
      <c r="C2" s="4"/>
      <c r="D2" s="4"/>
      <c r="E2" s="4"/>
      <c r="F2" s="4"/>
      <c r="G2" s="4"/>
      <c r="H2" s="4"/>
    </row>
    <row r="3" ht="30.0" customHeight="1">
      <c r="A3" s="8" t="s">
        <v>4</v>
      </c>
      <c r="B3" s="8" t="s">
        <v>6</v>
      </c>
      <c r="C3" s="8" t="s">
        <v>10</v>
      </c>
      <c r="D3" s="8" t="s">
        <v>14</v>
      </c>
      <c r="E3" s="8" t="s">
        <v>16</v>
      </c>
      <c r="F3" s="8" t="s">
        <v>19</v>
      </c>
      <c r="G3" s="8" t="s">
        <v>23</v>
      </c>
    </row>
    <row r="4" ht="22.5" customHeight="1">
      <c r="A4" s="11" t="s">
        <v>28</v>
      </c>
      <c r="B4" s="14">
        <v>642.5595</v>
      </c>
      <c r="C4" s="14">
        <v>142.0926</v>
      </c>
      <c r="D4" s="14">
        <v>4.5221</v>
      </c>
      <c r="E4" s="14">
        <v>0.0</v>
      </c>
      <c r="F4" s="14">
        <v>359.4965</v>
      </c>
      <c r="G4" s="14">
        <v>925.6224</v>
      </c>
    </row>
    <row r="5" ht="22.5" customHeight="1">
      <c r="A5" s="21" t="s">
        <v>21</v>
      </c>
      <c r="B5" s="24">
        <v>-0.178</v>
      </c>
      <c r="C5" s="24">
        <v>0.0892</v>
      </c>
      <c r="D5" s="24">
        <v>-1.9962</v>
      </c>
      <c r="E5" s="24">
        <v>0.0495</v>
      </c>
      <c r="F5" s="24">
        <v>-0.3556</v>
      </c>
      <c r="G5" s="24">
        <v>-4.0E-4</v>
      </c>
    </row>
    <row r="6" ht="22.5" customHeight="1">
      <c r="A6" s="29" t="s">
        <v>32</v>
      </c>
      <c r="B6" s="20">
        <v>-25.721</v>
      </c>
      <c r="C6" s="20">
        <v>6.0572</v>
      </c>
      <c r="D6" s="20">
        <v>-4.2463</v>
      </c>
      <c r="E6" s="20">
        <v>1.0E-4</v>
      </c>
      <c r="F6" s="20">
        <v>-37.7876</v>
      </c>
      <c r="G6" s="20">
        <v>-13.6543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22.5" customHeight="1">
      <c r="A7" s="21" t="s">
        <v>34</v>
      </c>
      <c r="B7" s="24">
        <v>-130.261</v>
      </c>
      <c r="C7" s="24">
        <v>32.4673</v>
      </c>
      <c r="D7" s="24">
        <v>-4.0121</v>
      </c>
      <c r="E7" s="24">
        <v>1.0E-4</v>
      </c>
      <c r="F7" s="24">
        <v>-194.9392</v>
      </c>
      <c r="G7" s="24">
        <v>-65.5829</v>
      </c>
    </row>
    <row r="8" ht="22.5" customHeight="1">
      <c r="A8" s="29" t="s">
        <v>24</v>
      </c>
      <c r="B8" s="20">
        <v>-18.675</v>
      </c>
      <c r="C8" s="20">
        <v>5.31</v>
      </c>
      <c r="D8" s="20">
        <v>-3.517</v>
      </c>
      <c r="E8" s="20">
        <v>7.0E-4</v>
      </c>
      <c r="F8" s="20">
        <v>-29.253</v>
      </c>
      <c r="G8" s="20">
        <v>-8.097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10">
      <c r="A10" s="39" t="s">
        <v>45</v>
      </c>
      <c r="B10" s="40"/>
    </row>
    <row r="11">
      <c r="A11" s="41" t="s">
        <v>46</v>
      </c>
      <c r="B11" s="42">
        <v>0.3223</v>
      </c>
    </row>
    <row r="12">
      <c r="A12" s="41" t="s">
        <v>48</v>
      </c>
      <c r="B12" s="42">
        <v>0.2861</v>
      </c>
    </row>
    <row r="13">
      <c r="A13" s="41" t="s">
        <v>49</v>
      </c>
      <c r="B13" s="42">
        <v>8.916</v>
      </c>
    </row>
    <row r="14">
      <c r="A14" s="41" t="s">
        <v>50</v>
      </c>
      <c r="B14" s="42">
        <v>6.05E-6</v>
      </c>
    </row>
    <row r="15">
      <c r="A15" s="41" t="s">
        <v>51</v>
      </c>
      <c r="B15" s="42">
        <v>80.0</v>
      </c>
    </row>
    <row r="16">
      <c r="A16" s="43"/>
      <c r="B16" s="44"/>
    </row>
    <row r="17">
      <c r="A17" s="43"/>
      <c r="B17" s="44"/>
    </row>
    <row r="18">
      <c r="A18" s="43"/>
      <c r="B18" s="44"/>
    </row>
    <row r="21">
      <c r="A21" s="45"/>
    </row>
    <row r="22" ht="15.75" customHeight="1"/>
    <row r="23" ht="15.75" customHeight="1"/>
    <row r="24" ht="15.75" customHeight="1"/>
    <row r="25" ht="15.75" customHeight="1">
      <c r="A25" s="46" t="s">
        <v>52</v>
      </c>
    </row>
    <row r="26" ht="15.75" customHeight="1"/>
    <row r="27" ht="15.75" customHeight="1">
      <c r="A27" s="47" t="s">
        <v>53</v>
      </c>
      <c r="B27" s="40"/>
    </row>
    <row r="28" ht="15.75" customHeight="1">
      <c r="A28" s="48" t="s">
        <v>54</v>
      </c>
      <c r="B28" s="49">
        <v>0.5676885655974256</v>
      </c>
    </row>
    <row r="29" ht="15.75" customHeight="1">
      <c r="A29" s="48" t="s">
        <v>55</v>
      </c>
      <c r="B29" s="50">
        <v>0.3222703075100626</v>
      </c>
    </row>
    <row r="30" ht="15.75" customHeight="1">
      <c r="A30" s="48" t="s">
        <v>57</v>
      </c>
      <c r="B30" s="50">
        <v>0.2861247239105993</v>
      </c>
    </row>
    <row r="31" ht="15.75" customHeight="1">
      <c r="A31" s="48" t="s">
        <v>58</v>
      </c>
      <c r="B31" s="49">
        <v>12.465825484108954</v>
      </c>
    </row>
    <row r="32" ht="15.75" customHeight="1">
      <c r="A32" s="48" t="s">
        <v>59</v>
      </c>
      <c r="B32" s="50">
        <v>80.0</v>
      </c>
    </row>
    <row r="33" ht="15.75" customHeight="1"/>
    <row r="34" ht="15.75" customHeight="1">
      <c r="A34" s="51" t="s">
        <v>60</v>
      </c>
      <c r="B34" s="52"/>
      <c r="C34" s="52"/>
      <c r="D34" s="52"/>
      <c r="E34" s="52"/>
      <c r="F34" s="40"/>
    </row>
    <row r="35" ht="15.75" customHeight="1">
      <c r="A35" s="53"/>
      <c r="B35" s="54" t="s">
        <v>62</v>
      </c>
      <c r="C35" s="54" t="s">
        <v>63</v>
      </c>
      <c r="D35" s="54" t="s">
        <v>64</v>
      </c>
      <c r="E35" s="54" t="s">
        <v>65</v>
      </c>
      <c r="F35" s="54" t="s">
        <v>66</v>
      </c>
    </row>
    <row r="36" ht="15.75" customHeight="1">
      <c r="A36" s="48" t="s">
        <v>67</v>
      </c>
      <c r="B36" s="49">
        <v>4.0</v>
      </c>
      <c r="C36" s="49">
        <v>5542.007752699132</v>
      </c>
      <c r="D36" s="49">
        <v>1385.501938174783</v>
      </c>
      <c r="E36" s="50">
        <v>8.91589719732309</v>
      </c>
      <c r="F36" s="50">
        <v>6.045016697986405E-6</v>
      </c>
    </row>
    <row r="37" ht="15.75" customHeight="1">
      <c r="A37" s="48" t="s">
        <v>68</v>
      </c>
      <c r="B37" s="49">
        <v>75.0</v>
      </c>
      <c r="C37" s="49">
        <v>11654.760375019518</v>
      </c>
      <c r="D37" s="49">
        <v>155.39680500026023</v>
      </c>
      <c r="E37" s="56"/>
      <c r="F37" s="56"/>
    </row>
    <row r="38" ht="15.75" customHeight="1">
      <c r="A38" s="48" t="s">
        <v>69</v>
      </c>
      <c r="B38" s="49">
        <v>79.0</v>
      </c>
      <c r="C38" s="49">
        <v>17196.76812771865</v>
      </c>
      <c r="D38" s="56"/>
      <c r="E38" s="56"/>
      <c r="F38" s="56"/>
    </row>
    <row r="39" ht="15.75" customHeight="1"/>
    <row r="40" ht="15.75" customHeight="1">
      <c r="A40" s="53"/>
      <c r="B40" s="54" t="s">
        <v>70</v>
      </c>
      <c r="C40" s="54" t="s">
        <v>58</v>
      </c>
      <c r="D40" s="54" t="s">
        <v>71</v>
      </c>
      <c r="E40" s="54" t="s">
        <v>72</v>
      </c>
      <c r="F40" s="54" t="s">
        <v>73</v>
      </c>
      <c r="G40" s="54" t="s">
        <v>74</v>
      </c>
      <c r="H40" s="54" t="s">
        <v>73</v>
      </c>
      <c r="I40" s="54" t="s">
        <v>74</v>
      </c>
    </row>
    <row r="41" ht="15.75" customHeight="1">
      <c r="A41" s="48" t="s">
        <v>28</v>
      </c>
      <c r="B41" s="49">
        <v>642.5594635696368</v>
      </c>
      <c r="C41" s="49">
        <v>142.09258914270507</v>
      </c>
      <c r="D41" s="49">
        <v>4.522118060107327</v>
      </c>
      <c r="E41" s="49">
        <v>2.249450976376188E-5</v>
      </c>
      <c r="F41" s="49">
        <v>359.4965149606694</v>
      </c>
      <c r="G41" s="49">
        <v>925.6224121786042</v>
      </c>
      <c r="H41" s="49">
        <v>359.4965149606694</v>
      </c>
      <c r="I41" s="49">
        <v>925.6224121786042</v>
      </c>
    </row>
    <row r="42" ht="15.75" customHeight="1">
      <c r="A42" s="48" t="s">
        <v>12</v>
      </c>
      <c r="B42" s="49">
        <v>-0.17799744439971782</v>
      </c>
      <c r="C42" s="49">
        <v>0.08916847686916085</v>
      </c>
      <c r="D42" s="49">
        <v>-1.9961924959299007</v>
      </c>
      <c r="E42" s="49">
        <v>0.049543296169971676</v>
      </c>
      <c r="F42" s="49">
        <v>-0.35563015654775315</v>
      </c>
      <c r="G42" s="49">
        <v>-3.647322516824869E-4</v>
      </c>
      <c r="H42" s="49">
        <v>-0.35563015654775315</v>
      </c>
      <c r="I42" s="49">
        <v>-3.647322516824869E-4</v>
      </c>
    </row>
    <row r="43" ht="15.75" customHeight="1">
      <c r="A43" s="48" t="s">
        <v>17</v>
      </c>
      <c r="B43" s="49">
        <v>-25.720955909280782</v>
      </c>
      <c r="C43" s="49">
        <v>6.057223732773982</v>
      </c>
      <c r="D43" s="49">
        <v>-4.246327532878094</v>
      </c>
      <c r="E43" s="49">
        <v>6.158877413496899E-5</v>
      </c>
      <c r="F43" s="49">
        <v>-37.78756417173741</v>
      </c>
      <c r="G43" s="49">
        <v>-13.654347646824155</v>
      </c>
      <c r="H43" s="49">
        <v>-37.78756417173741</v>
      </c>
      <c r="I43" s="49">
        <v>-13.654347646824155</v>
      </c>
    </row>
    <row r="44" ht="15.75" customHeight="1">
      <c r="A44" s="48" t="s">
        <v>20</v>
      </c>
      <c r="B44" s="49">
        <v>-130.26104322028976</v>
      </c>
      <c r="C44" s="49">
        <v>32.467271650705584</v>
      </c>
      <c r="D44" s="49">
        <v>-4.012072360797181</v>
      </c>
      <c r="E44" s="49">
        <v>1.4111412810880047E-4</v>
      </c>
      <c r="F44" s="49">
        <v>-194.93916403000463</v>
      </c>
      <c r="G44" s="49">
        <v>-65.58292241057488</v>
      </c>
      <c r="H44" s="49">
        <v>-194.93916403000463</v>
      </c>
      <c r="I44" s="49">
        <v>-65.58292241057488</v>
      </c>
    </row>
    <row r="45" ht="15.75" customHeight="1">
      <c r="A45" s="48" t="s">
        <v>24</v>
      </c>
      <c r="B45" s="49">
        <v>-18.675012448431815</v>
      </c>
      <c r="C45" s="49">
        <v>5.30995855677347</v>
      </c>
      <c r="D45" s="49">
        <v>-3.516978946023913</v>
      </c>
      <c r="E45" s="49">
        <v>7.448124575913179E-4</v>
      </c>
      <c r="F45" s="49">
        <v>-29.25299216672792</v>
      </c>
      <c r="G45" s="49">
        <v>-8.097032730135709</v>
      </c>
      <c r="H45" s="49">
        <v>-29.25299216672792</v>
      </c>
      <c r="I45" s="49">
        <v>-8.097032730135709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A1:H1"/>
    <mergeCell ref="A10:B10"/>
    <mergeCell ref="A21:H21"/>
    <mergeCell ref="A25:B25"/>
    <mergeCell ref="A27:B27"/>
    <mergeCell ref="A34:F34"/>
  </mergeCells>
  <dataValidations>
    <dataValidation type="custom" allowBlank="1" showDropDown="1" sqref="B4:G8">
      <formula1>AND(ISNUMBER(B4),(NOT(OR(NOT(ISERROR(DATEVALUE(B4))), AND(ISNUMBER(B4), LEFT(CELL("format", B4))="D")))))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3.29"/>
    <col customWidth="1" min="3" max="3" width="45.29"/>
    <col customWidth="1" min="4" max="4" width="55.0"/>
    <col customWidth="1" min="5" max="5" width="8.71"/>
    <col customWidth="1" min="6" max="6" width="18.71"/>
    <col customWidth="1" min="7" max="9" width="13.0"/>
    <col customWidth="1" min="10" max="26" width="8.71"/>
  </cols>
  <sheetData>
    <row r="1">
      <c r="A1" s="1" t="s">
        <v>0</v>
      </c>
      <c r="D1" s="3"/>
    </row>
    <row r="2">
      <c r="A2" s="6"/>
      <c r="B2" s="6"/>
      <c r="C2" s="6"/>
      <c r="D2" s="6"/>
    </row>
    <row r="3" ht="22.5" customHeight="1">
      <c r="A3" s="9" t="s">
        <v>4</v>
      </c>
      <c r="B3" s="9" t="s">
        <v>7</v>
      </c>
      <c r="C3" s="9" t="s">
        <v>13</v>
      </c>
    </row>
    <row r="4" ht="22.5" customHeight="1">
      <c r="A4" s="11" t="s">
        <v>21</v>
      </c>
      <c r="B4" s="13">
        <v>1.469</v>
      </c>
      <c r="C4" s="11" t="s">
        <v>31</v>
      </c>
    </row>
    <row r="5" ht="22.5" customHeight="1">
      <c r="A5" s="18" t="s">
        <v>32</v>
      </c>
      <c r="B5" s="19">
        <v>2.457</v>
      </c>
      <c r="C5" s="18" t="s">
        <v>33</v>
      </c>
    </row>
    <row r="6" ht="22.5" customHeight="1">
      <c r="A6" s="11" t="s">
        <v>34</v>
      </c>
      <c r="B6" s="13">
        <v>2.656</v>
      </c>
      <c r="C6" s="11" t="s">
        <v>35</v>
      </c>
    </row>
    <row r="7" ht="22.5" customHeight="1">
      <c r="A7" s="18" t="s">
        <v>24</v>
      </c>
      <c r="B7" s="19">
        <v>1.159</v>
      </c>
      <c r="C7" s="18" t="s">
        <v>36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A1:C1"/>
  </mergeCells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9.14"/>
  </cols>
  <sheetData>
    <row r="1">
      <c r="A1" s="57" t="s">
        <v>21</v>
      </c>
    </row>
    <row r="2">
      <c r="A2" s="58" t="s">
        <v>52</v>
      </c>
      <c r="D2" s="59"/>
      <c r="E2" s="59"/>
      <c r="F2" s="59"/>
      <c r="G2" s="59"/>
      <c r="H2" s="59"/>
      <c r="I2" s="59"/>
    </row>
    <row r="3">
      <c r="A3" s="59"/>
      <c r="B3" s="59"/>
      <c r="C3" s="59"/>
      <c r="D3" s="59"/>
      <c r="E3" s="59"/>
      <c r="F3" s="59"/>
      <c r="G3" s="59"/>
      <c r="H3" s="59"/>
      <c r="I3" s="59"/>
    </row>
    <row r="4">
      <c r="A4" s="60" t="s">
        <v>53</v>
      </c>
      <c r="B4" s="40"/>
      <c r="C4" s="59"/>
      <c r="D4" s="59"/>
      <c r="E4" s="59"/>
      <c r="F4" s="59"/>
      <c r="G4" s="59"/>
      <c r="H4" s="59"/>
      <c r="I4" s="59"/>
    </row>
    <row r="5">
      <c r="A5" s="61" t="s">
        <v>54</v>
      </c>
      <c r="B5" s="62">
        <v>0.5651234431133717</v>
      </c>
      <c r="C5" s="59"/>
      <c r="D5" s="59"/>
      <c r="E5" s="59"/>
      <c r="F5" s="59"/>
      <c r="G5" s="59"/>
      <c r="H5" s="59"/>
      <c r="I5" s="59"/>
    </row>
    <row r="6">
      <c r="A6" s="61" t="s">
        <v>55</v>
      </c>
      <c r="B6" s="63">
        <v>0.3193645059563123</v>
      </c>
      <c r="C6" s="59"/>
      <c r="D6" s="59"/>
      <c r="E6" s="59"/>
      <c r="F6" s="59"/>
      <c r="G6" s="59"/>
      <c r="H6" s="59"/>
      <c r="I6" s="59"/>
    </row>
    <row r="7">
      <c r="A7" s="61" t="s">
        <v>57</v>
      </c>
      <c r="B7" s="62">
        <v>0.2924973154019561</v>
      </c>
      <c r="C7" s="59"/>
      <c r="D7" s="59"/>
      <c r="E7" s="59"/>
      <c r="F7" s="59"/>
      <c r="G7" s="59"/>
      <c r="H7" s="59"/>
      <c r="I7" s="59"/>
    </row>
    <row r="8">
      <c r="A8" s="61" t="s">
        <v>58</v>
      </c>
      <c r="B8" s="62">
        <v>16.036252956815996</v>
      </c>
      <c r="C8" s="59"/>
      <c r="D8" s="59"/>
      <c r="E8" s="59"/>
      <c r="F8" s="59"/>
      <c r="G8" s="59"/>
      <c r="H8" s="59"/>
      <c r="I8" s="59"/>
    </row>
    <row r="9">
      <c r="A9" s="61" t="s">
        <v>59</v>
      </c>
      <c r="B9" s="62">
        <v>80.0</v>
      </c>
      <c r="C9" s="59"/>
      <c r="D9" s="59"/>
      <c r="E9" s="59"/>
      <c r="F9" s="59"/>
      <c r="G9" s="59"/>
      <c r="H9" s="59"/>
      <c r="I9" s="59"/>
    </row>
    <row r="10">
      <c r="A10" s="59"/>
      <c r="B10" s="59"/>
      <c r="C10" s="59"/>
      <c r="D10" s="59"/>
      <c r="E10" s="59"/>
      <c r="F10" s="59"/>
      <c r="G10" s="59"/>
      <c r="H10" s="59"/>
      <c r="I10" s="59"/>
    </row>
    <row r="11">
      <c r="A11" s="64" t="s">
        <v>60</v>
      </c>
      <c r="B11" s="52"/>
      <c r="C11" s="52"/>
      <c r="D11" s="52"/>
      <c r="E11" s="52"/>
      <c r="F11" s="40"/>
      <c r="G11" s="59"/>
      <c r="H11" s="59"/>
      <c r="I11" s="59"/>
    </row>
    <row r="12">
      <c r="A12" s="65"/>
      <c r="B12" s="66" t="s">
        <v>62</v>
      </c>
      <c r="C12" s="66" t="s">
        <v>63</v>
      </c>
      <c r="D12" s="66" t="s">
        <v>64</v>
      </c>
      <c r="E12" s="66" t="s">
        <v>65</v>
      </c>
      <c r="F12" s="66" t="s">
        <v>66</v>
      </c>
      <c r="G12" s="59"/>
      <c r="H12" s="59"/>
      <c r="I12" s="59"/>
    </row>
    <row r="13">
      <c r="A13" s="61" t="s">
        <v>67</v>
      </c>
      <c r="B13" s="62">
        <v>3.0</v>
      </c>
      <c r="C13" s="62">
        <v>9170.466797034922</v>
      </c>
      <c r="D13" s="62">
        <v>3056.8222656783073</v>
      </c>
      <c r="E13" s="62">
        <v>11.886784563878875</v>
      </c>
      <c r="F13" s="62">
        <v>1.823534618861089E-6</v>
      </c>
      <c r="G13" s="59"/>
      <c r="H13" s="59"/>
      <c r="I13" s="59"/>
    </row>
    <row r="14">
      <c r="A14" s="61" t="s">
        <v>68</v>
      </c>
      <c r="B14" s="62">
        <v>76.0</v>
      </c>
      <c r="C14" s="62">
        <v>19544.26707601922</v>
      </c>
      <c r="D14" s="62">
        <v>257.16140889498973</v>
      </c>
      <c r="E14" s="67"/>
      <c r="F14" s="67"/>
      <c r="G14" s="59"/>
      <c r="H14" s="59"/>
      <c r="I14" s="59"/>
    </row>
    <row r="15">
      <c r="A15" s="61" t="s">
        <v>69</v>
      </c>
      <c r="B15" s="62">
        <v>79.0</v>
      </c>
      <c r="C15" s="62">
        <v>28714.73387305414</v>
      </c>
      <c r="D15" s="67"/>
      <c r="E15" s="67"/>
      <c r="F15" s="67"/>
      <c r="G15" s="59"/>
      <c r="H15" s="59"/>
      <c r="I15" s="59"/>
    </row>
    <row r="16">
      <c r="A16" s="59"/>
      <c r="B16" s="59"/>
      <c r="C16" s="59"/>
      <c r="D16" s="59"/>
      <c r="E16" s="59"/>
      <c r="F16" s="59"/>
      <c r="G16" s="59"/>
      <c r="H16" s="59"/>
      <c r="I16" s="59"/>
    </row>
    <row r="17">
      <c r="A17" s="68"/>
      <c r="B17" s="69" t="s">
        <v>70</v>
      </c>
      <c r="C17" s="69" t="s">
        <v>58</v>
      </c>
      <c r="D17" s="69" t="s">
        <v>71</v>
      </c>
      <c r="E17" s="69" t="s">
        <v>72</v>
      </c>
      <c r="F17" s="69" t="s">
        <v>73</v>
      </c>
      <c r="G17" s="69" t="s">
        <v>74</v>
      </c>
      <c r="H17" s="69" t="s">
        <v>73</v>
      </c>
      <c r="I17" s="69" t="s">
        <v>74</v>
      </c>
    </row>
    <row r="18">
      <c r="A18" s="70" t="s">
        <v>28</v>
      </c>
      <c r="B18" s="71">
        <v>-401.8915258056279</v>
      </c>
      <c r="C18" s="71">
        <v>176.88158168415967</v>
      </c>
      <c r="D18" s="71">
        <v>-2.272093691039278</v>
      </c>
      <c r="E18" s="71">
        <v>0.025909278716223547</v>
      </c>
      <c r="F18" s="71">
        <v>-754.1817217017185</v>
      </c>
      <c r="G18" s="71">
        <v>-49.60132990953724</v>
      </c>
      <c r="H18" s="71">
        <v>-754.1817217017185</v>
      </c>
      <c r="I18" s="71">
        <v>-49.60132990953724</v>
      </c>
    </row>
    <row r="19">
      <c r="A19" s="70" t="s">
        <v>17</v>
      </c>
      <c r="B19" s="71">
        <v>-5.983382856477168</v>
      </c>
      <c r="C19" s="71">
        <v>7.7618312858744645</v>
      </c>
      <c r="D19" s="71">
        <v>-0.770872573250356</v>
      </c>
      <c r="E19" s="71">
        <v>0.4431724227923487</v>
      </c>
      <c r="F19" s="71">
        <v>-21.442409388112917</v>
      </c>
      <c r="G19" s="71">
        <v>9.475643675158583</v>
      </c>
      <c r="H19" s="71">
        <v>-21.442409388112917</v>
      </c>
      <c r="I19" s="71">
        <v>9.475643675158583</v>
      </c>
    </row>
    <row r="20">
      <c r="A20" s="70" t="s">
        <v>20</v>
      </c>
      <c r="B20" s="71">
        <v>107.9138742774029</v>
      </c>
      <c r="C20" s="71">
        <v>39.88994911716226</v>
      </c>
      <c r="D20" s="71">
        <v>2.705289845330337</v>
      </c>
      <c r="E20" s="71">
        <v>0.008420184698433655</v>
      </c>
      <c r="F20" s="71">
        <v>28.46615645982382</v>
      </c>
      <c r="G20" s="71">
        <v>187.36159209498197</v>
      </c>
      <c r="H20" s="71">
        <v>28.46615645982382</v>
      </c>
      <c r="I20" s="71">
        <v>187.36159209498197</v>
      </c>
    </row>
    <row r="21">
      <c r="A21" s="72" t="s">
        <v>24</v>
      </c>
      <c r="B21" s="73">
        <v>-21.295607032283336</v>
      </c>
      <c r="C21" s="73">
        <v>6.379105740169811</v>
      </c>
      <c r="D21" s="73">
        <v>-3.338337362584062</v>
      </c>
      <c r="E21" s="73">
        <v>0.0013074385225343625</v>
      </c>
      <c r="F21" s="73">
        <v>-34.00069701083791</v>
      </c>
      <c r="G21" s="73">
        <v>-8.590517053728762</v>
      </c>
      <c r="H21" s="73">
        <v>-34.00069701083791</v>
      </c>
      <c r="I21" s="73">
        <v>-8.590517053728762</v>
      </c>
    </row>
    <row r="23">
      <c r="A23" s="74" t="s">
        <v>78</v>
      </c>
      <c r="B23" s="75">
        <f>1/(1-B6)</f>
        <v>1.46921518</v>
      </c>
    </row>
  </sheetData>
  <mergeCells count="4">
    <mergeCell ref="A1:C1"/>
    <mergeCell ref="A2:C2"/>
    <mergeCell ref="A4:B4"/>
    <mergeCell ref="A11:F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9.14"/>
  </cols>
  <sheetData>
    <row r="1">
      <c r="A1" s="78" t="s">
        <v>32</v>
      </c>
    </row>
    <row r="2">
      <c r="A2" s="79" t="s">
        <v>52</v>
      </c>
    </row>
    <row r="4">
      <c r="A4" s="80" t="s">
        <v>53</v>
      </c>
      <c r="B4" s="40"/>
    </row>
    <row r="5">
      <c r="A5" s="48" t="s">
        <v>54</v>
      </c>
      <c r="B5" s="49">
        <v>0.7700950572884276</v>
      </c>
    </row>
    <row r="6">
      <c r="A6" s="48" t="s">
        <v>55</v>
      </c>
      <c r="B6" s="81">
        <v>0.5930463972600667</v>
      </c>
    </row>
    <row r="7">
      <c r="A7" s="48" t="s">
        <v>57</v>
      </c>
      <c r="B7" s="49">
        <v>0.5769824392571745</v>
      </c>
    </row>
    <row r="8">
      <c r="A8" s="48" t="s">
        <v>58</v>
      </c>
      <c r="B8" s="49">
        <v>0.23606990824961865</v>
      </c>
    </row>
    <row r="9">
      <c r="A9" s="48" t="s">
        <v>59</v>
      </c>
      <c r="B9" s="49">
        <v>80.0</v>
      </c>
    </row>
    <row r="11">
      <c r="A11" s="82" t="s">
        <v>60</v>
      </c>
      <c r="B11" s="52"/>
      <c r="C11" s="52"/>
      <c r="D11" s="52"/>
      <c r="E11" s="52"/>
      <c r="F11" s="40"/>
    </row>
    <row r="12">
      <c r="A12" s="53"/>
      <c r="B12" s="54" t="s">
        <v>62</v>
      </c>
      <c r="C12" s="54" t="s">
        <v>63</v>
      </c>
      <c r="D12" s="54" t="s">
        <v>64</v>
      </c>
      <c r="E12" s="54" t="s">
        <v>65</v>
      </c>
      <c r="F12" s="54" t="s">
        <v>66</v>
      </c>
    </row>
    <row r="13">
      <c r="A13" s="48" t="s">
        <v>67</v>
      </c>
      <c r="B13" s="49">
        <v>3.0</v>
      </c>
      <c r="C13" s="49">
        <v>6.172180655206994</v>
      </c>
      <c r="D13" s="49">
        <v>2.057393551735665</v>
      </c>
      <c r="E13" s="49">
        <v>36.917825429654165</v>
      </c>
      <c r="F13" s="49">
        <v>7.882583474838611E-15</v>
      </c>
    </row>
    <row r="14">
      <c r="A14" s="48" t="s">
        <v>68</v>
      </c>
      <c r="B14" s="49">
        <v>76.0</v>
      </c>
      <c r="C14" s="49">
        <v>4.235404120154736</v>
      </c>
      <c r="D14" s="49">
        <v>0.055729001580983366</v>
      </c>
      <c r="E14" s="56"/>
      <c r="F14" s="56"/>
    </row>
    <row r="15">
      <c r="A15" s="48" t="s">
        <v>69</v>
      </c>
      <c r="B15" s="49">
        <v>79.0</v>
      </c>
      <c r="C15" s="49">
        <v>10.40758477536173</v>
      </c>
      <c r="D15" s="56"/>
      <c r="E15" s="56"/>
      <c r="F15" s="56"/>
    </row>
    <row r="17">
      <c r="A17" s="53"/>
      <c r="B17" s="54" t="s">
        <v>70</v>
      </c>
      <c r="C17" s="54" t="s">
        <v>58</v>
      </c>
      <c r="D17" s="54" t="s">
        <v>71</v>
      </c>
      <c r="E17" s="54" t="s">
        <v>72</v>
      </c>
      <c r="F17" s="54" t="s">
        <v>73</v>
      </c>
      <c r="G17" s="54" t="s">
        <v>74</v>
      </c>
      <c r="H17" s="54" t="s">
        <v>73</v>
      </c>
      <c r="I17" s="54" t="s">
        <v>74</v>
      </c>
    </row>
    <row r="18">
      <c r="A18" s="48" t="s">
        <v>28</v>
      </c>
      <c r="B18" s="49">
        <v>17.12405689013066</v>
      </c>
      <c r="C18" s="49">
        <v>1.8391279021227651</v>
      </c>
      <c r="D18" s="49">
        <v>9.310965741080686</v>
      </c>
      <c r="E18" s="49">
        <v>3.3949314620931964E-14</v>
      </c>
      <c r="F18" s="49">
        <v>13.461116278972515</v>
      </c>
      <c r="G18" s="49">
        <v>20.786997501288806</v>
      </c>
      <c r="H18" s="49">
        <v>13.461116278972515</v>
      </c>
      <c r="I18" s="49">
        <v>20.786997501288806</v>
      </c>
    </row>
    <row r="19">
      <c r="A19" s="48" t="s">
        <v>12</v>
      </c>
      <c r="B19" s="49">
        <v>-0.0012966484906807019</v>
      </c>
      <c r="C19" s="49">
        <v>0.0016820529560087145</v>
      </c>
      <c r="D19" s="49">
        <v>-0.7708725733329315</v>
      </c>
      <c r="E19" s="49">
        <v>0.4431724227436911</v>
      </c>
      <c r="F19" s="49">
        <v>-0.004646747238881657</v>
      </c>
      <c r="G19" s="49">
        <v>0.002053450257520254</v>
      </c>
      <c r="H19" s="49">
        <v>-0.004646747238881657</v>
      </c>
      <c r="I19" s="49">
        <v>0.002053450257520254</v>
      </c>
    </row>
    <row r="20">
      <c r="A20" s="48" t="s">
        <v>20</v>
      </c>
      <c r="B20" s="49">
        <v>-3.7626493015646236</v>
      </c>
      <c r="C20" s="49">
        <v>0.43789340129991494</v>
      </c>
      <c r="D20" s="49">
        <v>-8.592614755999874</v>
      </c>
      <c r="E20" s="49">
        <v>8.054789298214372E-13</v>
      </c>
      <c r="F20" s="49">
        <v>-4.634789581274523</v>
      </c>
      <c r="G20" s="49">
        <v>-2.890509021854724</v>
      </c>
      <c r="H20" s="49">
        <v>-4.634789581274523</v>
      </c>
      <c r="I20" s="49">
        <v>-2.890509021854724</v>
      </c>
    </row>
    <row r="21">
      <c r="A21" s="48" t="s">
        <v>24</v>
      </c>
      <c r="B21" s="49">
        <v>-0.09520627370679757</v>
      </c>
      <c r="C21" s="49">
        <v>0.09996184298096113</v>
      </c>
      <c r="D21" s="49">
        <v>-0.9524261544970783</v>
      </c>
      <c r="E21" s="49">
        <v>0.3439002388081119</v>
      </c>
      <c r="F21" s="49">
        <v>-0.29429753527623614</v>
      </c>
      <c r="G21" s="49">
        <v>0.10388498786264103</v>
      </c>
      <c r="H21" s="49">
        <v>-0.29429753527623614</v>
      </c>
      <c r="I21" s="49">
        <v>0.10388498786264103</v>
      </c>
    </row>
    <row r="23">
      <c r="A23" s="85" t="s">
        <v>78</v>
      </c>
      <c r="B23" s="86">
        <f>1/(1-B6)</f>
        <v>2.457282583</v>
      </c>
    </row>
  </sheetData>
  <mergeCells count="4">
    <mergeCell ref="A1:C1"/>
    <mergeCell ref="A2:C2"/>
    <mergeCell ref="A4:B4"/>
    <mergeCell ref="A11:F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</cols>
  <sheetData>
    <row r="1">
      <c r="A1" s="78" t="s">
        <v>90</v>
      </c>
    </row>
    <row r="2">
      <c r="A2" s="87" t="s">
        <v>52</v>
      </c>
    </row>
    <row r="4">
      <c r="A4" s="88" t="s">
        <v>53</v>
      </c>
      <c r="B4" s="52"/>
    </row>
    <row r="5">
      <c r="A5" s="76" t="s">
        <v>54</v>
      </c>
      <c r="B5" s="77">
        <v>0.7896314108498483</v>
      </c>
    </row>
    <row r="6">
      <c r="A6" s="76" t="s">
        <v>55</v>
      </c>
      <c r="B6" s="89">
        <v>0.623517765000722</v>
      </c>
    </row>
    <row r="7">
      <c r="A7" s="76" t="s">
        <v>57</v>
      </c>
      <c r="B7" s="77">
        <v>0.6086566241454873</v>
      </c>
    </row>
    <row r="8">
      <c r="A8" s="76" t="s">
        <v>58</v>
      </c>
      <c r="B8" s="77">
        <v>0.04404214392339131</v>
      </c>
    </row>
    <row r="9">
      <c r="A9" s="90" t="s">
        <v>59</v>
      </c>
      <c r="B9" s="91">
        <v>80.0</v>
      </c>
    </row>
    <row r="11">
      <c r="A11" s="82" t="s">
        <v>60</v>
      </c>
      <c r="B11" s="52"/>
      <c r="C11" s="52"/>
      <c r="D11" s="52"/>
      <c r="E11" s="52"/>
      <c r="F11" s="40"/>
    </row>
    <row r="12">
      <c r="A12" s="53"/>
      <c r="B12" s="54" t="s">
        <v>62</v>
      </c>
      <c r="C12" s="54" t="s">
        <v>63</v>
      </c>
      <c r="D12" s="54" t="s">
        <v>64</v>
      </c>
      <c r="E12" s="54" t="s">
        <v>65</v>
      </c>
      <c r="F12" s="54" t="s">
        <v>66</v>
      </c>
    </row>
    <row r="13">
      <c r="A13" s="48" t="s">
        <v>67</v>
      </c>
      <c r="B13" s="49">
        <v>3.0</v>
      </c>
      <c r="C13" s="49">
        <v>0.2441489380120044</v>
      </c>
      <c r="D13" s="49">
        <v>0.08138297933733481</v>
      </c>
      <c r="E13" s="49">
        <v>41.956251614498036</v>
      </c>
      <c r="F13" s="49">
        <v>4.440892098500626E-16</v>
      </c>
    </row>
    <row r="14">
      <c r="A14" s="48" t="s">
        <v>68</v>
      </c>
      <c r="B14" s="49">
        <v>76.0</v>
      </c>
      <c r="C14" s="49">
        <v>0.14741799354402227</v>
      </c>
      <c r="D14" s="49">
        <v>0.001939710441368714</v>
      </c>
      <c r="E14" s="56"/>
      <c r="F14" s="56"/>
    </row>
    <row r="15">
      <c r="A15" s="48" t="s">
        <v>69</v>
      </c>
      <c r="B15" s="49">
        <v>79.0</v>
      </c>
      <c r="C15" s="49">
        <v>0.3915669315560267</v>
      </c>
      <c r="D15" s="56"/>
      <c r="E15" s="56"/>
      <c r="F15" s="56"/>
    </row>
    <row r="17">
      <c r="A17" s="53"/>
      <c r="B17" s="54" t="s">
        <v>70</v>
      </c>
      <c r="C17" s="54" t="s">
        <v>58</v>
      </c>
      <c r="D17" s="54" t="s">
        <v>71</v>
      </c>
      <c r="E17" s="54" t="s">
        <v>72</v>
      </c>
      <c r="F17" s="54" t="s">
        <v>73</v>
      </c>
      <c r="G17" s="54" t="s">
        <v>74</v>
      </c>
      <c r="H17" s="54" t="s">
        <v>73</v>
      </c>
      <c r="I17" s="54" t="s">
        <v>74</v>
      </c>
    </row>
    <row r="18">
      <c r="A18" s="48" t="s">
        <v>28</v>
      </c>
      <c r="B18" s="49">
        <v>4.370497955840889</v>
      </c>
      <c r="C18" s="49">
        <v>0.026254129169774012</v>
      </c>
      <c r="D18" s="49">
        <v>166.4689743688996</v>
      </c>
      <c r="E18" s="49">
        <v>3.673427561340478E-99</v>
      </c>
      <c r="F18" s="49">
        <v>4.3182083266989695</v>
      </c>
      <c r="G18" s="49">
        <v>4.422787584982809</v>
      </c>
      <c r="H18" s="49">
        <v>4.3182083266989695</v>
      </c>
      <c r="I18" s="49">
        <v>4.422787584982809</v>
      </c>
    </row>
    <row r="19">
      <c r="A19" s="48" t="s">
        <v>12</v>
      </c>
      <c r="B19" s="49">
        <v>8.139699871997919E-4</v>
      </c>
      <c r="C19" s="49">
        <v>3.008808792155723E-4</v>
      </c>
      <c r="D19" s="49">
        <v>2.705289845343101</v>
      </c>
      <c r="E19" s="49">
        <v>0.008420184698138933</v>
      </c>
      <c r="F19" s="49">
        <v>2.1471379064728002E-4</v>
      </c>
      <c r="G19" s="49">
        <v>0.0014132261837523038</v>
      </c>
      <c r="H19" s="49">
        <v>2.1471379064728002E-4</v>
      </c>
      <c r="I19" s="49">
        <v>0.0014132261837523038</v>
      </c>
    </row>
    <row r="20">
      <c r="A20" s="48" t="s">
        <v>24</v>
      </c>
      <c r="B20" s="49">
        <v>0.013843834999777371</v>
      </c>
      <c r="C20" s="49">
        <v>0.018692916176963552</v>
      </c>
      <c r="D20" s="49">
        <v>0.7405925789598304</v>
      </c>
      <c r="E20" s="49">
        <v>0.4612224842943981</v>
      </c>
      <c r="F20" s="49">
        <v>-0.023386333563563955</v>
      </c>
      <c r="G20" s="49">
        <v>0.0510740035631187</v>
      </c>
      <c r="H20" s="49">
        <v>-0.023386333563563955</v>
      </c>
      <c r="I20" s="49">
        <v>0.0510740035631187</v>
      </c>
    </row>
    <row r="21">
      <c r="A21" s="48" t="s">
        <v>17</v>
      </c>
      <c r="B21" s="49">
        <v>-0.13096323153903455</v>
      </c>
      <c r="C21" s="49">
        <v>0.015241371253986636</v>
      </c>
      <c r="D21" s="49">
        <v>-8.592614756023277</v>
      </c>
      <c r="E21" s="49">
        <v>8.054789297382242E-13</v>
      </c>
      <c r="F21" s="49">
        <v>-0.16131905272554786</v>
      </c>
      <c r="G21" s="49">
        <v>-0.10060741035252126</v>
      </c>
      <c r="H21" s="49">
        <v>-0.16131905272554786</v>
      </c>
      <c r="I21" s="49">
        <v>-0.10060741035252126</v>
      </c>
    </row>
    <row r="23">
      <c r="A23" s="85" t="s">
        <v>78</v>
      </c>
      <c r="B23" s="86">
        <f>1/(1-B6)</f>
        <v>2.656167827</v>
      </c>
    </row>
  </sheetData>
  <mergeCells count="4">
    <mergeCell ref="A1:C1"/>
    <mergeCell ref="A2:C2"/>
    <mergeCell ref="A4:B4"/>
    <mergeCell ref="A11:F1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6.14"/>
    <col customWidth="1" min="3" max="3" width="15.43"/>
    <col customWidth="1" min="5" max="5" width="15.43"/>
    <col customWidth="1" min="6" max="9" width="16.14"/>
  </cols>
  <sheetData>
    <row r="1">
      <c r="A1" s="78" t="s">
        <v>92</v>
      </c>
    </row>
    <row r="2">
      <c r="A2" s="87" t="s">
        <v>52</v>
      </c>
    </row>
    <row r="4">
      <c r="A4" s="80" t="s">
        <v>53</v>
      </c>
      <c r="B4" s="40"/>
    </row>
    <row r="5">
      <c r="A5" s="48" t="s">
        <v>54</v>
      </c>
      <c r="B5" s="49">
        <v>0.3703548351750712</v>
      </c>
    </row>
    <row r="6">
      <c r="A6" s="48" t="s">
        <v>55</v>
      </c>
      <c r="B6" s="81">
        <v>0.13716270393755414</v>
      </c>
    </row>
    <row r="7">
      <c r="A7" s="48" t="s">
        <v>57</v>
      </c>
      <c r="B7" s="49">
        <v>0.10310333698772078</v>
      </c>
    </row>
    <row r="8">
      <c r="A8" s="48" t="s">
        <v>58</v>
      </c>
      <c r="B8" s="49">
        <v>0.2692917911807815</v>
      </c>
    </row>
    <row r="9">
      <c r="A9" s="48" t="s">
        <v>59</v>
      </c>
      <c r="B9" s="49">
        <v>80.0</v>
      </c>
    </row>
    <row r="11">
      <c r="A11" s="82" t="s">
        <v>60</v>
      </c>
      <c r="B11" s="52"/>
      <c r="C11" s="52"/>
      <c r="D11" s="52"/>
      <c r="E11" s="52"/>
      <c r="F11" s="40"/>
    </row>
    <row r="12">
      <c r="A12" s="53"/>
      <c r="B12" s="54" t="s">
        <v>62</v>
      </c>
      <c r="C12" s="54" t="s">
        <v>63</v>
      </c>
      <c r="D12" s="54" t="s">
        <v>64</v>
      </c>
      <c r="E12" s="54" t="s">
        <v>65</v>
      </c>
      <c r="F12" s="54" t="s">
        <v>66</v>
      </c>
    </row>
    <row r="13">
      <c r="A13" s="48" t="s">
        <v>67</v>
      </c>
      <c r="B13" s="49">
        <v>3.0</v>
      </c>
      <c r="C13" s="49">
        <v>0.876126771401128</v>
      </c>
      <c r="D13" s="49">
        <v>0.29204225713370935</v>
      </c>
      <c r="E13" s="49">
        <v>4.027165394459136</v>
      </c>
      <c r="F13" s="49">
        <v>0.010282060786602987</v>
      </c>
    </row>
    <row r="14">
      <c r="A14" s="48" t="s">
        <v>68</v>
      </c>
      <c r="B14" s="49">
        <v>76.0</v>
      </c>
      <c r="C14" s="49">
        <v>5.511373228598877</v>
      </c>
      <c r="D14" s="49">
        <v>0.07251806879735363</v>
      </c>
      <c r="E14" s="56"/>
      <c r="F14" s="56"/>
    </row>
    <row r="15">
      <c r="A15" s="48" t="s">
        <v>69</v>
      </c>
      <c r="B15" s="49">
        <v>79.0</v>
      </c>
      <c r="C15" s="49">
        <v>6.387500000000005</v>
      </c>
      <c r="D15" s="56"/>
      <c r="E15" s="56"/>
      <c r="F15" s="56"/>
    </row>
    <row r="17">
      <c r="A17" s="53"/>
      <c r="B17" s="54" t="s">
        <v>70</v>
      </c>
      <c r="C17" s="54" t="s">
        <v>58</v>
      </c>
      <c r="D17" s="54" t="s">
        <v>71</v>
      </c>
      <c r="E17" s="54" t="s">
        <v>72</v>
      </c>
      <c r="F17" s="54" t="s">
        <v>73</v>
      </c>
      <c r="G17" s="54" t="s">
        <v>74</v>
      </c>
      <c r="H17" s="54" t="s">
        <v>73</v>
      </c>
      <c r="I17" s="54" t="s">
        <v>74</v>
      </c>
    </row>
    <row r="18">
      <c r="A18" s="48" t="s">
        <v>28</v>
      </c>
      <c r="B18" s="49">
        <v>-1.7018722854704436</v>
      </c>
      <c r="C18" s="49">
        <v>3.063327357439293</v>
      </c>
      <c r="D18" s="49">
        <v>-0.5555633097251084</v>
      </c>
      <c r="E18" s="49">
        <v>0.5801411804676101</v>
      </c>
      <c r="F18" s="49">
        <v>-7.803017382494338</v>
      </c>
      <c r="G18" s="49">
        <v>4.399272811553451</v>
      </c>
      <c r="H18" s="49">
        <v>-7.803017382494338</v>
      </c>
      <c r="I18" s="49">
        <v>4.399272811553451</v>
      </c>
    </row>
    <row r="19">
      <c r="A19" s="48" t="s">
        <v>12</v>
      </c>
      <c r="B19" s="49">
        <v>-0.006005241231246035</v>
      </c>
      <c r="C19" s="49">
        <v>0.0017988718871913261</v>
      </c>
      <c r="D19" s="49">
        <v>-3.3383373624357073</v>
      </c>
      <c r="E19" s="49">
        <v>0.001307438523142352</v>
      </c>
      <c r="F19" s="49">
        <v>-0.00958800504134235</v>
      </c>
      <c r="G19" s="49">
        <v>-0.0024224774211497194</v>
      </c>
      <c r="H19" s="49">
        <v>-0.00958800504134235</v>
      </c>
      <c r="I19" s="49">
        <v>-0.0024224774211497194</v>
      </c>
    </row>
    <row r="20">
      <c r="A20" s="48" t="s">
        <v>20</v>
      </c>
      <c r="B20" s="49">
        <v>0.5175660023822442</v>
      </c>
      <c r="C20" s="49">
        <v>0.6988538868622375</v>
      </c>
      <c r="D20" s="49">
        <v>0.7405925789524442</v>
      </c>
      <c r="E20" s="49">
        <v>0.4612224842988516</v>
      </c>
      <c r="F20" s="49">
        <v>-0.8743221205148952</v>
      </c>
      <c r="G20" s="49">
        <v>1.9094541252793835</v>
      </c>
      <c r="H20" s="49">
        <v>-0.8743221205148952</v>
      </c>
      <c r="I20" s="49">
        <v>1.9094541252793835</v>
      </c>
    </row>
    <row r="21">
      <c r="A21" s="48" t="s">
        <v>17</v>
      </c>
      <c r="B21" s="49">
        <v>-0.12388836890912569</v>
      </c>
      <c r="C21" s="49">
        <v>0.1300766136255144</v>
      </c>
      <c r="D21" s="49">
        <v>-0.9524261545260978</v>
      </c>
      <c r="E21" s="49">
        <v>0.34390023879349846</v>
      </c>
      <c r="F21" s="49">
        <v>-0.38295839338152854</v>
      </c>
      <c r="G21" s="49">
        <v>0.13518165556327716</v>
      </c>
      <c r="H21" s="49">
        <v>-0.38295839338152854</v>
      </c>
      <c r="I21" s="49">
        <v>0.13518165556327716</v>
      </c>
    </row>
    <row r="23">
      <c r="A23" s="85" t="s">
        <v>78</v>
      </c>
      <c r="B23" s="86">
        <f>1/(1-B6)</f>
        <v>1.158967055</v>
      </c>
    </row>
  </sheetData>
  <mergeCells count="4">
    <mergeCell ref="A1:C1"/>
    <mergeCell ref="A2:C2"/>
    <mergeCell ref="A4:B4"/>
    <mergeCell ref="A11:F1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71"/>
  </cols>
  <sheetData>
    <row r="1">
      <c r="A1" s="94" t="s">
        <v>98</v>
      </c>
    </row>
    <row r="2">
      <c r="A2" s="95"/>
    </row>
    <row r="3">
      <c r="A3" s="96" t="s">
        <v>100</v>
      </c>
      <c r="B3" s="97">
        <v>0.238432</v>
      </c>
    </row>
    <row r="4">
      <c r="A4" s="98" t="s">
        <v>101</v>
      </c>
      <c r="B4" s="48">
        <v>80.0</v>
      </c>
    </row>
    <row r="5">
      <c r="A5" s="96" t="s">
        <v>102</v>
      </c>
      <c r="B5" s="99">
        <v>13.0</v>
      </c>
    </row>
    <row r="6">
      <c r="A6" s="98" t="s">
        <v>103</v>
      </c>
      <c r="B6" s="48">
        <v>19.0746</v>
      </c>
    </row>
    <row r="7">
      <c r="A7" s="96" t="s">
        <v>104</v>
      </c>
      <c r="B7" s="99">
        <v>0.1208</v>
      </c>
    </row>
    <row r="8">
      <c r="A8" s="98" t="s">
        <v>49</v>
      </c>
      <c r="B8" s="48">
        <v>1.5895</v>
      </c>
    </row>
    <row r="9">
      <c r="A9" s="96" t="s">
        <v>105</v>
      </c>
      <c r="B9" s="99">
        <v>0.1108</v>
      </c>
    </row>
    <row r="11">
      <c r="A11" s="101" t="s">
        <v>106</v>
      </c>
    </row>
    <row r="12">
      <c r="A12" s="102" t="s">
        <v>107</v>
      </c>
    </row>
  </sheetData>
  <mergeCells count="2">
    <mergeCell ref="A1:E1"/>
    <mergeCell ref="A12:B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9.29"/>
    <col customWidth="1" min="5" max="5" width="23.29"/>
    <col customWidth="1" min="6" max="6" width="18.57"/>
  </cols>
  <sheetData>
    <row r="1" ht="22.5" customHeight="1">
      <c r="A1" s="103" t="s">
        <v>110</v>
      </c>
      <c r="B1" s="104" t="s">
        <v>111</v>
      </c>
      <c r="C1" s="104" t="s">
        <v>112</v>
      </c>
      <c r="D1" s="104" t="s">
        <v>113</v>
      </c>
      <c r="E1" s="105" t="s">
        <v>114</v>
      </c>
      <c r="F1" s="104" t="s">
        <v>115</v>
      </c>
      <c r="G1" s="104" t="s">
        <v>116</v>
      </c>
    </row>
    <row r="2" ht="22.5" customHeight="1">
      <c r="A2" s="106">
        <v>1.0</v>
      </c>
      <c r="B2" s="107" t="s">
        <v>118</v>
      </c>
      <c r="C2" s="106" t="s">
        <v>119</v>
      </c>
      <c r="D2" s="106">
        <v>0.08</v>
      </c>
      <c r="E2" s="106" t="s">
        <v>120</v>
      </c>
      <c r="F2" s="106" t="s">
        <v>121</v>
      </c>
      <c r="G2" s="106" t="s">
        <v>122</v>
      </c>
    </row>
    <row r="3" ht="22.5" customHeight="1">
      <c r="A3" s="109">
        <v>2.0</v>
      </c>
      <c r="B3" s="110" t="s">
        <v>125</v>
      </c>
      <c r="C3" s="109" t="s">
        <v>119</v>
      </c>
      <c r="D3" s="109">
        <v>0.38</v>
      </c>
      <c r="E3" s="109" t="s">
        <v>120</v>
      </c>
      <c r="F3" s="109" t="s">
        <v>121</v>
      </c>
      <c r="G3" s="109" t="s">
        <v>122</v>
      </c>
    </row>
    <row r="4" ht="22.5" customHeight="1">
      <c r="A4" s="106">
        <v>3.0</v>
      </c>
      <c r="B4" s="107" t="s">
        <v>129</v>
      </c>
      <c r="C4" s="106" t="s">
        <v>119</v>
      </c>
      <c r="D4" s="106" t="s">
        <v>131</v>
      </c>
      <c r="E4" s="106" t="s">
        <v>120</v>
      </c>
      <c r="F4" s="106" t="s">
        <v>131</v>
      </c>
      <c r="G4" s="106" t="s">
        <v>122</v>
      </c>
    </row>
    <row r="5" ht="22.5" customHeight="1">
      <c r="A5" s="109">
        <v>4.0</v>
      </c>
      <c r="B5" s="110" t="s">
        <v>134</v>
      </c>
      <c r="C5" s="109" t="s">
        <v>136</v>
      </c>
      <c r="D5" s="109">
        <v>0.244</v>
      </c>
      <c r="E5" s="109" t="s">
        <v>121</v>
      </c>
      <c r="F5" s="109" t="s">
        <v>120</v>
      </c>
      <c r="G5" s="109" t="s">
        <v>137</v>
      </c>
    </row>
    <row r="6" ht="22.5" customHeight="1">
      <c r="A6" s="114">
        <v>5.0</v>
      </c>
      <c r="B6" s="115" t="s">
        <v>141</v>
      </c>
      <c r="C6" s="114" t="s">
        <v>136</v>
      </c>
      <c r="D6" s="114">
        <v>0.322</v>
      </c>
      <c r="E6" s="114" t="s">
        <v>121</v>
      </c>
      <c r="F6" s="114" t="s">
        <v>120</v>
      </c>
      <c r="G6" s="114" t="s">
        <v>143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  <col customWidth="1" min="2" max="2" width="17.86"/>
    <col customWidth="1" min="3" max="3" width="19.57"/>
  </cols>
  <sheetData>
    <row r="1" ht="22.5" customHeight="1">
      <c r="A1" s="108" t="s">
        <v>4</v>
      </c>
      <c r="B1" s="108" t="s">
        <v>123</v>
      </c>
      <c r="C1" s="108" t="s">
        <v>124</v>
      </c>
      <c r="D1" s="108" t="s">
        <v>26</v>
      </c>
    </row>
    <row r="2" ht="22.5" customHeight="1">
      <c r="A2" s="111" t="s">
        <v>8</v>
      </c>
      <c r="B2" s="112" t="s">
        <v>126</v>
      </c>
      <c r="C2" s="112" t="s">
        <v>127</v>
      </c>
      <c r="D2" s="112" t="s">
        <v>38</v>
      </c>
    </row>
    <row r="3" ht="22.5" customHeight="1">
      <c r="A3" s="111" t="s">
        <v>12</v>
      </c>
      <c r="B3" s="113" t="s">
        <v>130</v>
      </c>
      <c r="C3" s="113" t="s">
        <v>132</v>
      </c>
      <c r="D3" s="113" t="s">
        <v>40</v>
      </c>
    </row>
    <row r="4" ht="22.5" customHeight="1">
      <c r="A4" s="111" t="s">
        <v>32</v>
      </c>
      <c r="B4" s="112" t="s">
        <v>133</v>
      </c>
      <c r="C4" s="112" t="s">
        <v>135</v>
      </c>
      <c r="D4" s="112" t="s">
        <v>40</v>
      </c>
    </row>
    <row r="5" ht="22.5" customHeight="1">
      <c r="A5" s="111" t="s">
        <v>20</v>
      </c>
      <c r="B5" s="113" t="s">
        <v>138</v>
      </c>
      <c r="C5" s="113" t="s">
        <v>140</v>
      </c>
      <c r="D5" s="113" t="s">
        <v>40</v>
      </c>
    </row>
    <row r="6" ht="22.5" customHeight="1">
      <c r="A6" s="111" t="s">
        <v>24</v>
      </c>
      <c r="B6" s="112" t="s">
        <v>142</v>
      </c>
      <c r="C6" s="112" t="s">
        <v>144</v>
      </c>
      <c r="D6" s="112" t="s">
        <v>145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38.14"/>
    <col customWidth="1" min="3" max="3" width="19.71"/>
    <col customWidth="1" min="4" max="5" width="17.14"/>
    <col customWidth="1" min="7" max="7" width="25.71"/>
  </cols>
  <sheetData>
    <row r="1" ht="22.5" customHeight="1">
      <c r="A1" s="116" t="s">
        <v>4</v>
      </c>
      <c r="B1" s="116" t="s">
        <v>147</v>
      </c>
      <c r="C1" s="116" t="s">
        <v>148</v>
      </c>
      <c r="D1" s="116" t="s">
        <v>149</v>
      </c>
      <c r="E1" s="117" t="s">
        <v>150</v>
      </c>
      <c r="F1" s="116" t="s">
        <v>16</v>
      </c>
      <c r="G1" s="116" t="s">
        <v>151</v>
      </c>
    </row>
    <row r="2" ht="22.5" customHeight="1">
      <c r="A2" s="118" t="s">
        <v>152</v>
      </c>
      <c r="B2" s="118" t="s">
        <v>153</v>
      </c>
      <c r="C2" s="118" t="s">
        <v>154</v>
      </c>
      <c r="D2" s="118" t="s">
        <v>154</v>
      </c>
      <c r="E2" s="119" t="s">
        <v>155</v>
      </c>
      <c r="F2" s="118">
        <v>0.0495</v>
      </c>
      <c r="G2" s="118" t="s">
        <v>120</v>
      </c>
    </row>
    <row r="3" ht="22.5" customHeight="1">
      <c r="A3" s="120" t="s">
        <v>32</v>
      </c>
      <c r="B3" s="120" t="s">
        <v>157</v>
      </c>
      <c r="C3" s="120" t="s">
        <v>154</v>
      </c>
      <c r="D3" s="120" t="s">
        <v>154</v>
      </c>
      <c r="E3" s="121" t="s">
        <v>158</v>
      </c>
      <c r="F3" s="120" t="s">
        <v>159</v>
      </c>
      <c r="G3" s="120" t="s">
        <v>120</v>
      </c>
    </row>
    <row r="4" ht="22.5" customHeight="1">
      <c r="A4" s="118" t="s">
        <v>34</v>
      </c>
      <c r="B4" s="118" t="s">
        <v>160</v>
      </c>
      <c r="C4" s="118" t="s">
        <v>154</v>
      </c>
      <c r="D4" s="118" t="s">
        <v>154</v>
      </c>
      <c r="E4" s="119" t="s">
        <v>162</v>
      </c>
      <c r="F4" s="118" t="s">
        <v>159</v>
      </c>
      <c r="G4" s="118" t="s">
        <v>120</v>
      </c>
    </row>
    <row r="5" ht="22.5" customHeight="1">
      <c r="A5" s="120" t="s">
        <v>24</v>
      </c>
      <c r="B5" s="120" t="s">
        <v>163</v>
      </c>
      <c r="C5" s="120" t="s">
        <v>154</v>
      </c>
      <c r="D5" s="120" t="s">
        <v>154</v>
      </c>
      <c r="E5" s="121" t="s">
        <v>164</v>
      </c>
      <c r="F5" s="120">
        <v>7.0E-4</v>
      </c>
      <c r="G5" s="120" t="s">
        <v>120</v>
      </c>
    </row>
  </sheetData>
  <drawing r:id="rId1"/>
  <tableParts count="1">
    <tablePart r:id="rId3"/>
  </tableParts>
</worksheet>
</file>